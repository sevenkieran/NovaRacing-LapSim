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"/>
    </mc:Choice>
  </mc:AlternateContent>
  <xr:revisionPtr revIDLastSave="24" documentId="13_ncr:1_{ABB9B69D-3B92-443B-90EF-476C9AA6A6DD}" xr6:coauthVersionLast="47" xr6:coauthVersionMax="47" xr10:uidLastSave="{117294C8-07DE-40AE-8157-3A2BF52EE6AF}"/>
  <bookViews>
    <workbookView xWindow="0" yWindow="3308" windowWidth="24000" windowHeight="10432" xr2:uid="{5212B428-F12D-4417-A782-C1DEAC561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9" i="1"/>
  <c r="D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</calcChain>
</file>

<file path=xl/sharedStrings.xml><?xml version="1.0" encoding="utf-8"?>
<sst xmlns="http://schemas.openxmlformats.org/spreadsheetml/2006/main" count="5" uniqueCount="5">
  <si>
    <t>CoP</t>
  </si>
  <si>
    <t>Balance</t>
  </si>
  <si>
    <t>Speed_mph</t>
  </si>
  <si>
    <t>Downforce_N</t>
  </si>
  <si>
    <t>Drag_N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</si>
</sst>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F82D-ACF0-4732-A613-DF3C2D02B494}">
  <dimension ref="A1:H12"/>
  <sheetViews>
    <sheetView tabSelected="1" workbookViewId="0">
      <selection activeCell="H5" sqref="H5"/>
    </sheetView>
  </sheetViews>
  <sheetFormatPr defaultRowHeight="14.25" x14ac:dyDescent="0.45"/>
  <cols>
    <col min="1" max="1" width="16.1328125" customWidth="1"/>
    <col min="2" max="2" width="16.3984375" customWidth="1"/>
    <col min="3" max="3" width="14.86328125" customWidth="1"/>
    <col min="4" max="4" width="16.1328125" customWidth="1"/>
    <col min="5" max="5" width="17.265625" customWidth="1"/>
  </cols>
  <sheetData>
    <row r="1" spans="1:8" ht="14.65" thickBot="1" x14ac:dyDescent="0.5">
      <c r="A1" s="1" t="s">
        <v>2</v>
      </c>
      <c r="B1" s="1" t="s">
        <v>3</v>
      </c>
      <c r="C1" s="1" t="s">
        <v>4</v>
      </c>
      <c r="D1" s="1" t="s">
        <v>0</v>
      </c>
      <c r="E1" s="2" t="s">
        <v>1</v>
      </c>
    </row>
    <row r="2" spans="1:8" ht="14.65" thickBot="1" x14ac:dyDescent="0.5">
      <c r="A2" s="9">
        <v>0</v>
      </c>
      <c r="B2" s="9">
        <v>0</v>
      </c>
      <c r="C2" s="9">
        <v>0</v>
      </c>
      <c r="D2" s="10">
        <v>0</v>
      </c>
      <c r="E2" s="11">
        <v>50</v>
      </c>
      <c r="F2" s="12"/>
      <c r="G2" s="13"/>
      <c r="H2" s="14"/>
    </row>
    <row r="3" spans="1:8" x14ac:dyDescent="0.45">
      <c r="A3" s="3">
        <v>20</v>
      </c>
      <c r="B3" s="3">
        <f>255.13*2</f>
        <v>510.26</v>
      </c>
      <c r="C3" s="3">
        <f>72.22*2</f>
        <v>144.44</v>
      </c>
      <c r="D3" s="4">
        <f>-0.44+0.339</f>
        <v>-0.10099999999999998</v>
      </c>
      <c r="E3" s="3">
        <v>43.4</v>
      </c>
      <c r="G3" s="13"/>
      <c r="H3" s="13"/>
    </row>
    <row r="4" spans="1:8" x14ac:dyDescent="0.45">
      <c r="A4" s="5">
        <v>25</v>
      </c>
      <c r="B4" s="5">
        <f>282.42*2</f>
        <v>564.84</v>
      </c>
      <c r="C4" s="5">
        <f>90.43*2</f>
        <v>180.86</v>
      </c>
      <c r="D4" s="6">
        <f>-0.442+0.339</f>
        <v>-0.10299999999999998</v>
      </c>
      <c r="E4" s="5">
        <v>43.2</v>
      </c>
      <c r="G4" s="13"/>
      <c r="H4" s="13"/>
    </row>
    <row r="5" spans="1:8" x14ac:dyDescent="0.45">
      <c r="A5" s="5">
        <v>30</v>
      </c>
      <c r="B5" s="5">
        <f>316.69*2</f>
        <v>633.38</v>
      </c>
      <c r="C5" s="5">
        <f>112.82*2</f>
        <v>225.64</v>
      </c>
      <c r="D5" s="6">
        <f>-0.444+0.339</f>
        <v>-0.10499999999999998</v>
      </c>
      <c r="E5" s="5">
        <v>43.1</v>
      </c>
      <c r="G5" s="13"/>
      <c r="H5" s="13"/>
    </row>
    <row r="6" spans="1:8" x14ac:dyDescent="0.45">
      <c r="A6" s="5">
        <v>35</v>
      </c>
      <c r="B6" s="5">
        <f>357.18*2</f>
        <v>714.36</v>
      </c>
      <c r="C6" s="5">
        <f>139.52*2</f>
        <v>279.04000000000002</v>
      </c>
      <c r="D6" s="6">
        <f>-0.447+0.339</f>
        <v>-0.10799999999999998</v>
      </c>
      <c r="E6" s="5">
        <v>42.9</v>
      </c>
      <c r="G6" s="13"/>
      <c r="H6" s="13"/>
    </row>
    <row r="7" spans="1:8" x14ac:dyDescent="0.45">
      <c r="A7" s="5">
        <v>40</v>
      </c>
      <c r="B7" s="5">
        <f>404.53*2</f>
        <v>809.06</v>
      </c>
      <c r="C7" s="5">
        <f>170.26*2</f>
        <v>340.52</v>
      </c>
      <c r="D7" s="6">
        <f>-0.449+0.339</f>
        <v>-0.10999999999999999</v>
      </c>
      <c r="E7" s="5">
        <v>42.8</v>
      </c>
      <c r="G7" s="13"/>
      <c r="H7" s="13"/>
    </row>
    <row r="8" spans="1:8" x14ac:dyDescent="0.45">
      <c r="A8" s="5">
        <v>45</v>
      </c>
      <c r="B8" s="5">
        <v>916.64</v>
      </c>
      <c r="C8" s="5">
        <v>411.07</v>
      </c>
      <c r="D8" s="6">
        <f>-0.452+0.339</f>
        <v>-0.11299999999999999</v>
      </c>
      <c r="E8" s="5">
        <v>42.6</v>
      </c>
      <c r="F8" s="12"/>
      <c r="G8" s="13"/>
      <c r="H8" s="14"/>
    </row>
    <row r="9" spans="1:8" ht="14.65" thickBot="1" x14ac:dyDescent="0.5">
      <c r="A9" s="7">
        <v>50</v>
      </c>
      <c r="B9" s="7">
        <v>1028.69</v>
      </c>
      <c r="C9" s="7">
        <v>484.41</v>
      </c>
      <c r="D9" s="8">
        <f>-0.455+0.339</f>
        <v>-0.11599999999999999</v>
      </c>
      <c r="E9" s="1">
        <v>42.4</v>
      </c>
      <c r="F9" s="12"/>
      <c r="G9" s="13"/>
      <c r="H9" s="14"/>
    </row>
    <row r="10" spans="1:8" ht="14.65" thickBot="1" x14ac:dyDescent="0.5">
      <c r="A10" s="7">
        <v>60</v>
      </c>
      <c r="B10" s="7">
        <v>1400</v>
      </c>
      <c r="C10" s="7">
        <v>550</v>
      </c>
      <c r="D10" s="8">
        <f t="shared" ref="D10:D12" si="0">-0.455+0.339</f>
        <v>-0.11599999999999999</v>
      </c>
      <c r="E10" s="1">
        <v>42.4</v>
      </c>
      <c r="F10" s="12"/>
      <c r="G10" s="13"/>
      <c r="H10" s="14"/>
    </row>
    <row r="11" spans="1:8" ht="14.65" thickBot="1" x14ac:dyDescent="0.5">
      <c r="A11" s="7">
        <v>70</v>
      </c>
      <c r="B11" s="7">
        <v>1700</v>
      </c>
      <c r="C11" s="7">
        <v>625</v>
      </c>
      <c r="D11" s="8">
        <f t="shared" si="0"/>
        <v>-0.11599999999999999</v>
      </c>
      <c r="E11" s="1">
        <v>42.4</v>
      </c>
      <c r="F11" s="12"/>
      <c r="G11" s="13"/>
      <c r="H11" s="14"/>
    </row>
    <row r="12" spans="1:8" ht="14.65" thickBot="1" x14ac:dyDescent="0.5">
      <c r="A12" s="7">
        <v>80</v>
      </c>
      <c r="B12" s="7">
        <v>2000</v>
      </c>
      <c r="C12" s="7">
        <v>710</v>
      </c>
      <c r="D12" s="8">
        <f t="shared" si="0"/>
        <v>-0.11599999999999999</v>
      </c>
      <c r="E12" s="1">
        <v>42.4</v>
      </c>
      <c r="F12" s="12"/>
      <c r="G12" s="13"/>
      <c r="H12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2025-07-15T23:42:22Z</dcterms:created>
  <dcterms:modified xsi:type="dcterms:W3CDTF">2026-02-10T20:14:02Z</dcterms:modified>
</cp:coreProperties>
</file>