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seven_villanova_edu/Documents/Documents/5-NovaRacing/Overall Vehicle 2026/Lap Sim/GGV Lap Sim 2/EngineData/"/>
    </mc:Choice>
  </mc:AlternateContent>
  <xr:revisionPtr revIDLastSave="103" documentId="13_ncr:1_{7768B2FA-55A4-4B46-9D36-DBE0D34744F5}" xr6:coauthVersionLast="47" xr6:coauthVersionMax="47" xr10:uidLastSave="{3BA4A5EE-EF60-40C3-8B73-30FC5DC76F3B}"/>
  <bookViews>
    <workbookView xWindow="0" yWindow="397" windowWidth="24000" windowHeight="10433" xr2:uid="{F70E0187-1A88-4016-AD09-0C0C722B1D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7" i="1" l="1"/>
  <c r="C98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</calcChain>
</file>

<file path=xl/sharedStrings.xml><?xml version="1.0" encoding="utf-8"?>
<sst xmlns="http://schemas.openxmlformats.org/spreadsheetml/2006/main" count="3" uniqueCount="3">
  <si>
    <t>RPM</t>
  </si>
  <si>
    <t>Power_hp</t>
  </si>
  <si>
    <t>Torque_Nm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</si>
</sst>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5"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Torque_Nm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Sheet1!$A$2:$A$98</c:f>
              <c:numCache>
                <c:formatCode>0.0</c:formatCode>
                <c:ptCount val="97"/>
                <c:pt idx="0">
                  <c:v>5.4</c:v>
                </c:pt>
                <c:pt idx="1">
                  <c:v>5.5</c:v>
                </c:pt>
                <c:pt idx="2">
                  <c:v>5.6</c:v>
                </c:pt>
                <c:pt idx="3">
                  <c:v>5.7</c:v>
                </c:pt>
                <c:pt idx="4">
                  <c:v>5.8</c:v>
                </c:pt>
                <c:pt idx="5">
                  <c:v>5.9</c:v>
                </c:pt>
                <c:pt idx="6">
                  <c:v>6</c:v>
                </c:pt>
                <c:pt idx="7">
                  <c:v>6.1</c:v>
                </c:pt>
                <c:pt idx="8">
                  <c:v>6.2</c:v>
                </c:pt>
                <c:pt idx="9">
                  <c:v>6.3</c:v>
                </c:pt>
                <c:pt idx="10">
                  <c:v>6.4</c:v>
                </c:pt>
                <c:pt idx="11">
                  <c:v>6.5</c:v>
                </c:pt>
                <c:pt idx="12">
                  <c:v>6.6</c:v>
                </c:pt>
                <c:pt idx="13">
                  <c:v>6.7</c:v>
                </c:pt>
                <c:pt idx="14">
                  <c:v>6.8</c:v>
                </c:pt>
                <c:pt idx="15">
                  <c:v>6.9</c:v>
                </c:pt>
                <c:pt idx="16">
                  <c:v>7</c:v>
                </c:pt>
                <c:pt idx="17">
                  <c:v>7.1</c:v>
                </c:pt>
                <c:pt idx="18">
                  <c:v>7.2</c:v>
                </c:pt>
                <c:pt idx="19">
                  <c:v>7.3</c:v>
                </c:pt>
                <c:pt idx="20">
                  <c:v>7.4</c:v>
                </c:pt>
                <c:pt idx="21">
                  <c:v>7.5</c:v>
                </c:pt>
                <c:pt idx="22">
                  <c:v>7.6</c:v>
                </c:pt>
                <c:pt idx="23">
                  <c:v>7.6999999999999993</c:v>
                </c:pt>
                <c:pt idx="24">
                  <c:v>7.8000000000000007</c:v>
                </c:pt>
                <c:pt idx="25">
                  <c:v>7.9</c:v>
                </c:pt>
                <c:pt idx="26">
                  <c:v>8</c:v>
                </c:pt>
                <c:pt idx="27">
                  <c:v>8.1</c:v>
                </c:pt>
                <c:pt idx="28">
                  <c:v>8.1999999999999993</c:v>
                </c:pt>
                <c:pt idx="29">
                  <c:v>8.3000000000000007</c:v>
                </c:pt>
                <c:pt idx="30">
                  <c:v>8.4</c:v>
                </c:pt>
                <c:pt idx="31">
                  <c:v>8.5</c:v>
                </c:pt>
                <c:pt idx="32">
                  <c:v>8.6</c:v>
                </c:pt>
                <c:pt idx="33">
                  <c:v>8.6999999999999993</c:v>
                </c:pt>
                <c:pt idx="34">
                  <c:v>8.8000000000000007</c:v>
                </c:pt>
                <c:pt idx="35">
                  <c:v>8.9</c:v>
                </c:pt>
                <c:pt idx="36">
                  <c:v>9</c:v>
                </c:pt>
                <c:pt idx="37">
                  <c:v>9.1</c:v>
                </c:pt>
                <c:pt idx="38">
                  <c:v>9.1999999999999993</c:v>
                </c:pt>
                <c:pt idx="39">
                  <c:v>9.3000000000000007</c:v>
                </c:pt>
                <c:pt idx="40">
                  <c:v>9.4</c:v>
                </c:pt>
                <c:pt idx="41">
                  <c:v>9.5</c:v>
                </c:pt>
                <c:pt idx="42">
                  <c:v>9.6</c:v>
                </c:pt>
                <c:pt idx="43">
                  <c:v>9.6999999999999993</c:v>
                </c:pt>
                <c:pt idx="44">
                  <c:v>9.8000000000000007</c:v>
                </c:pt>
                <c:pt idx="45">
                  <c:v>9.9</c:v>
                </c:pt>
                <c:pt idx="46">
                  <c:v>10</c:v>
                </c:pt>
                <c:pt idx="47">
                  <c:v>10.1</c:v>
                </c:pt>
                <c:pt idx="48">
                  <c:v>10.199999999999999</c:v>
                </c:pt>
                <c:pt idx="49">
                  <c:v>10.3</c:v>
                </c:pt>
                <c:pt idx="50">
                  <c:v>10.4</c:v>
                </c:pt>
                <c:pt idx="51">
                  <c:v>10.5</c:v>
                </c:pt>
                <c:pt idx="52">
                  <c:v>10.6</c:v>
                </c:pt>
                <c:pt idx="53">
                  <c:v>10.7</c:v>
                </c:pt>
                <c:pt idx="54">
                  <c:v>10.8</c:v>
                </c:pt>
                <c:pt idx="55">
                  <c:v>10.9</c:v>
                </c:pt>
                <c:pt idx="56">
                  <c:v>11</c:v>
                </c:pt>
                <c:pt idx="57">
                  <c:v>11.1</c:v>
                </c:pt>
                <c:pt idx="58">
                  <c:v>11.2</c:v>
                </c:pt>
                <c:pt idx="59">
                  <c:v>11.3</c:v>
                </c:pt>
                <c:pt idx="60">
                  <c:v>11.4</c:v>
                </c:pt>
                <c:pt idx="61">
                  <c:v>11.5</c:v>
                </c:pt>
                <c:pt idx="62">
                  <c:v>11.6</c:v>
                </c:pt>
                <c:pt idx="63">
                  <c:v>11.7</c:v>
                </c:pt>
                <c:pt idx="64">
                  <c:v>11.8</c:v>
                </c:pt>
                <c:pt idx="65">
                  <c:v>11.9</c:v>
                </c:pt>
                <c:pt idx="66">
                  <c:v>12</c:v>
                </c:pt>
                <c:pt idx="67">
                  <c:v>12.1</c:v>
                </c:pt>
                <c:pt idx="68">
                  <c:v>12.2</c:v>
                </c:pt>
                <c:pt idx="69">
                  <c:v>12.3</c:v>
                </c:pt>
                <c:pt idx="70">
                  <c:v>12.4</c:v>
                </c:pt>
                <c:pt idx="71">
                  <c:v>12.5</c:v>
                </c:pt>
                <c:pt idx="72">
                  <c:v>12.6</c:v>
                </c:pt>
                <c:pt idx="73">
                  <c:v>12.7</c:v>
                </c:pt>
                <c:pt idx="74">
                  <c:v>12.8</c:v>
                </c:pt>
                <c:pt idx="75">
                  <c:v>12.9</c:v>
                </c:pt>
                <c:pt idx="76">
                  <c:v>13</c:v>
                </c:pt>
                <c:pt idx="77">
                  <c:v>13.1</c:v>
                </c:pt>
                <c:pt idx="78">
                  <c:v>13.2</c:v>
                </c:pt>
                <c:pt idx="79">
                  <c:v>13.3</c:v>
                </c:pt>
                <c:pt idx="80">
                  <c:v>13.4</c:v>
                </c:pt>
                <c:pt idx="81">
                  <c:v>13.5</c:v>
                </c:pt>
                <c:pt idx="82">
                  <c:v>13.6</c:v>
                </c:pt>
                <c:pt idx="83">
                  <c:v>13.7</c:v>
                </c:pt>
                <c:pt idx="84">
                  <c:v>13.8</c:v>
                </c:pt>
                <c:pt idx="85">
                  <c:v>13.9</c:v>
                </c:pt>
                <c:pt idx="86">
                  <c:v>14</c:v>
                </c:pt>
                <c:pt idx="87">
                  <c:v>14.1</c:v>
                </c:pt>
                <c:pt idx="88">
                  <c:v>14.2</c:v>
                </c:pt>
                <c:pt idx="89">
                  <c:v>14.3</c:v>
                </c:pt>
                <c:pt idx="90">
                  <c:v>14.4</c:v>
                </c:pt>
                <c:pt idx="91">
                  <c:v>14.5</c:v>
                </c:pt>
                <c:pt idx="92">
                  <c:v>14.600000000000001</c:v>
                </c:pt>
                <c:pt idx="93">
                  <c:v>14.7</c:v>
                </c:pt>
                <c:pt idx="94">
                  <c:v>14.8</c:v>
                </c:pt>
                <c:pt idx="95">
                  <c:v>15</c:v>
                </c:pt>
                <c:pt idx="96">
                  <c:v>15.5</c:v>
                </c:pt>
              </c:numCache>
            </c:numRef>
          </c:xVal>
          <c:yVal>
            <c:numRef>
              <c:f>Sheet1!$C$2:$C$98</c:f>
              <c:numCache>
                <c:formatCode>0.00</c:formatCode>
                <c:ptCount val="97"/>
                <c:pt idx="0">
                  <c:v>43.121481058739697</c:v>
                </c:pt>
                <c:pt idx="1">
                  <c:v>45.577490509008804</c:v>
                </c:pt>
                <c:pt idx="2">
                  <c:v>47.097825981118085</c:v>
                </c:pt>
                <c:pt idx="3">
                  <c:v>47.523731524696174</c:v>
                </c:pt>
                <c:pt idx="4">
                  <c:v>46.995118473004929</c:v>
                </c:pt>
                <c:pt idx="5">
                  <c:v>46.936201078249113</c:v>
                </c:pt>
                <c:pt idx="6">
                  <c:v>45.523664249514333</c:v>
                </c:pt>
                <c:pt idx="7">
                  <c:v>44.030540822985245</c:v>
                </c:pt>
                <c:pt idx="8">
                  <c:v>42.566045899510137</c:v>
                </c:pt>
                <c:pt idx="9">
                  <c:v>42.449409524991076</c:v>
                </c:pt>
                <c:pt idx="10">
                  <c:v>44.497392910215261</c:v>
                </c:pt>
                <c:pt idx="11">
                  <c:v>46.607482925354105</c:v>
                </c:pt>
                <c:pt idx="12">
                  <c:v>47.891826705564</c:v>
                </c:pt>
                <c:pt idx="13">
                  <c:v>48.844781569120606</c:v>
                </c:pt>
                <c:pt idx="14">
                  <c:v>49.251498433892777</c:v>
                </c:pt>
                <c:pt idx="15">
                  <c:v>49.6</c:v>
                </c:pt>
                <c:pt idx="16">
                  <c:v>50.5</c:v>
                </c:pt>
                <c:pt idx="17">
                  <c:v>50.5</c:v>
                </c:pt>
                <c:pt idx="18">
                  <c:v>50.5</c:v>
                </c:pt>
                <c:pt idx="19">
                  <c:v>50.5</c:v>
                </c:pt>
                <c:pt idx="20">
                  <c:v>51</c:v>
                </c:pt>
                <c:pt idx="21">
                  <c:v>52</c:v>
                </c:pt>
                <c:pt idx="22">
                  <c:v>52.14539644736842</c:v>
                </c:pt>
                <c:pt idx="23">
                  <c:v>53.341838831168843</c:v>
                </c:pt>
                <c:pt idx="24">
                  <c:v>54.542295256410249</c:v>
                </c:pt>
                <c:pt idx="25">
                  <c:v>54.574803164556961</c:v>
                </c:pt>
                <c:pt idx="26">
                  <c:v>54.506804375000002</c:v>
                </c:pt>
                <c:pt idx="27">
                  <c:v>54.454550740740743</c:v>
                </c:pt>
                <c:pt idx="28">
                  <c:v>54.405308414634142</c:v>
                </c:pt>
                <c:pt idx="29">
                  <c:v>54.341809518072289</c:v>
                </c:pt>
                <c:pt idx="30">
                  <c:v>54.306102380952382</c:v>
                </c:pt>
                <c:pt idx="31">
                  <c:v>54.239400352941175</c:v>
                </c:pt>
                <c:pt idx="32">
                  <c:v>54.121256046511625</c:v>
                </c:pt>
                <c:pt idx="33">
                  <c:v>53.908425517241376</c:v>
                </c:pt>
                <c:pt idx="34">
                  <c:v>53.720662159090907</c:v>
                </c:pt>
                <c:pt idx="35">
                  <c:v>53.510714494382029</c:v>
                </c:pt>
                <c:pt idx="36">
                  <c:v>53.257959000000007</c:v>
                </c:pt>
                <c:pt idx="37">
                  <c:v>52.94580879120879</c:v>
                </c:pt>
                <c:pt idx="38">
                  <c:v>52.563816304347824</c:v>
                </c:pt>
                <c:pt idx="39">
                  <c:v>52.12189150537634</c:v>
                </c:pt>
                <c:pt idx="40">
                  <c:v>51.668157872340423</c:v>
                </c:pt>
                <c:pt idx="41">
                  <c:v>51.132527894736846</c:v>
                </c:pt>
                <c:pt idx="42">
                  <c:v>50.573193645833335</c:v>
                </c:pt>
                <c:pt idx="43">
                  <c:v>50.037872164948453</c:v>
                </c:pt>
                <c:pt idx="44">
                  <c:v>49.509842448979583</c:v>
                </c:pt>
                <c:pt idx="45">
                  <c:v>48.988883535353537</c:v>
                </c:pt>
                <c:pt idx="46">
                  <c:v>48.526054500000001</c:v>
                </c:pt>
                <c:pt idx="47">
                  <c:v>48.019511683168318</c:v>
                </c:pt>
                <c:pt idx="48">
                  <c:v>47.494277450980391</c:v>
                </c:pt>
                <c:pt idx="49">
                  <c:v>47.055291456310677</c:v>
                </c:pt>
                <c:pt idx="50">
                  <c:v>46.71239057692307</c:v>
                </c:pt>
                <c:pt idx="51">
                  <c:v>46.373308380952381</c:v>
                </c:pt>
                <c:pt idx="52">
                  <c:v>46.000316415094346</c:v>
                </c:pt>
                <c:pt idx="53">
                  <c:v>45.592368878504672</c:v>
                </c:pt>
                <c:pt idx="54">
                  <c:v>45.219009351851852</c:v>
                </c:pt>
                <c:pt idx="55">
                  <c:v>44.949842568807341</c:v>
                </c:pt>
                <c:pt idx="56">
                  <c:v>44.62989645454546</c:v>
                </c:pt>
                <c:pt idx="57">
                  <c:v>44.295827657657654</c:v>
                </c:pt>
                <c:pt idx="58">
                  <c:v>44.022403482142863</c:v>
                </c:pt>
                <c:pt idx="59">
                  <c:v>43.602576194690272</c:v>
                </c:pt>
                <c:pt idx="60">
                  <c:v>43.130147982456137</c:v>
                </c:pt>
                <c:pt idx="61">
                  <c:v>42.683893217391301</c:v>
                </c:pt>
                <c:pt idx="62">
                  <c:v>42.212183017241379</c:v>
                </c:pt>
                <c:pt idx="63">
                  <c:v>41.731494529914535</c:v>
                </c:pt>
                <c:pt idx="64">
                  <c:v>41.279471440677966</c:v>
                </c:pt>
                <c:pt idx="65">
                  <c:v>40.84222621848739</c:v>
                </c:pt>
                <c:pt idx="66">
                  <c:v>40.428884083333337</c:v>
                </c:pt>
                <c:pt idx="67">
                  <c:v>39.985886280991743</c:v>
                </c:pt>
                <c:pt idx="68">
                  <c:v>39.588090491803278</c:v>
                </c:pt>
                <c:pt idx="69">
                  <c:v>39.296920081300811</c:v>
                </c:pt>
                <c:pt idx="70">
                  <c:v>38.963929758064523</c:v>
                </c:pt>
                <c:pt idx="71">
                  <c:v>38.685829439999999</c:v>
                </c:pt>
                <c:pt idx="72">
                  <c:v>38.335846984126981</c:v>
                </c:pt>
                <c:pt idx="73">
                  <c:v>37.801856535433075</c:v>
                </c:pt>
                <c:pt idx="74">
                  <c:v>37.342412734375003</c:v>
                </c:pt>
                <c:pt idx="75">
                  <c:v>36.921556976744185</c:v>
                </c:pt>
                <c:pt idx="76">
                  <c:v>36.581124769230769</c:v>
                </c:pt>
                <c:pt idx="77">
                  <c:v>36.263828396946565</c:v>
                </c:pt>
                <c:pt idx="78">
                  <c:v>35.924366060606062</c:v>
                </c:pt>
                <c:pt idx="79">
                  <c:v>35.611960375939852</c:v>
                </c:pt>
                <c:pt idx="80">
                  <c:v>35.31484582089552</c:v>
                </c:pt>
                <c:pt idx="81">
                  <c:v>35.033737555555554</c:v>
                </c:pt>
                <c:pt idx="82">
                  <c:v>34.623768088235295</c:v>
                </c:pt>
                <c:pt idx="83">
                  <c:v>34.145974671532848</c:v>
                </c:pt>
                <c:pt idx="84">
                  <c:v>33.624536376811598</c:v>
                </c:pt>
                <c:pt idx="85">
                  <c:v>33.076788848920863</c:v>
                </c:pt>
                <c:pt idx="86">
                  <c:v>32.446836499999996</c:v>
                </c:pt>
                <c:pt idx="87">
                  <c:v>31.901069929078012</c:v>
                </c:pt>
                <c:pt idx="88">
                  <c:v>31.380040492957747</c:v>
                </c:pt>
                <c:pt idx="89">
                  <c:v>30.827954335664334</c:v>
                </c:pt>
                <c:pt idx="90">
                  <c:v>30.227161458333335</c:v>
                </c:pt>
                <c:pt idx="91">
                  <c:v>29.648406275862069</c:v>
                </c:pt>
                <c:pt idx="92">
                  <c:v>29.12293904109589</c:v>
                </c:pt>
                <c:pt idx="93">
                  <c:v>28.654032040816325</c:v>
                </c:pt>
                <c:pt idx="94">
                  <c:v>28.175583716216213</c:v>
                </c:pt>
                <c:pt idx="95">
                  <c:v>27.799909266666663</c:v>
                </c:pt>
                <c:pt idx="96">
                  <c:v>26.903137999999998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13-4572-8A72-80A6A76CF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34223"/>
        <c:axId val="341520415"/>
      </c:scatterChart>
      <c:valAx>
        <c:axId val="35023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520415"/>
        <c:crosses val="autoZero"/>
        <c:crossBetween val="midCat"/>
      </c:valAx>
      <c:valAx>
        <c:axId val="34152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234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253314</xdr:colOff>
      <xdr:row>7</xdr:row>
      <xdr:rowOff>77677</xdr:rowOff>
    </xdr:from>
    <xdr:to>
      <xdr:col>14</xdr:col>
      <xdr:colOff>373609</xdr:colOff>
      <xdr:row>24</xdr:row>
      <xdr:rowOff>65690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7B69AB-23BB-3784-5955-36C484EF4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DD7102-D6BD-4126-A7F7-ACBC87EAAF2A}" name="Table1" displayName="Table1" ref="A1:C1048576" totalsRowShown="0" headerRowDxfId="4" dataDxfId="3">
  <autoFilter ref="A1:C1048576" xr:uid="{1EDD7102-D6BD-4126-A7F7-ACBC87EAAF2A}"/>
  <sortState xmlns:xlrd2="http://schemas.microsoft.com/office/spreadsheetml/2017/richdata2" ref="A2:C99">
    <sortCondition ref="A1:A1048576"/>
  </sortState>
  <tableColumns count="3">
    <tableColumn id="1" xr3:uid="{CB1DF504-1791-4C88-80E5-1BDC08E3A55D}" name="RPM" dataDxfId="2"/>
    <tableColumn id="2" xr3:uid="{5E544996-0CF1-479A-A6A6-A058ACD227E7}" name="Power_hp" dataDxfId="1">
      <calculatedColumnFormula>Table1[[#This Row],[RPM]]*Table1[[#This Row],[Torque_Nm]]*1000/7121</calculatedColumnFormula>
    </tableColumn>
    <tableColumn id="3" xr3:uid="{408189EF-6936-49D1-AB35-DF0A5F1782DD}" name="Torque_Nm" dataDxfId="0">
      <calculatedColumnFormula>Table1[[#This Row],[Power_hp]]*7121/(Table1[[#This Row],[RPM]]*1000)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3A32-BB7F-4838-9A2B-73A3F67519E1}">
  <dimension ref="A1:P99"/>
  <sheetViews>
    <sheetView tabSelected="1" topLeftCell="A80" zoomScale="78" workbookViewId="0">
      <selection activeCell="A99" sqref="A99"/>
    </sheetView>
  </sheetViews>
  <sheetFormatPr defaultRowHeight="14.25" x14ac:dyDescent="0.45"/>
  <cols>
    <col min="1" max="1" width="13.33203125" style="4" bestFit="1" customWidth="1"/>
    <col min="2" max="2" width="13" style="3" customWidth="1"/>
    <col min="3" max="3" width="13.265625" style="3" customWidth="1"/>
  </cols>
  <sheetData>
    <row r="1" spans="1:16" x14ac:dyDescent="0.45">
      <c r="A1" s="5" t="s">
        <v>0</v>
      </c>
      <c r="B1" s="5" t="s">
        <v>1</v>
      </c>
      <c r="C1" s="5" t="s">
        <v>2</v>
      </c>
      <c r="D1" s="1"/>
      <c r="E1" s="1"/>
      <c r="F1" s="1"/>
      <c r="G1" s="1"/>
      <c r="H1" s="1"/>
      <c r="I1" s="1"/>
      <c r="J1" s="1"/>
      <c r="K1" s="1"/>
    </row>
    <row r="2" spans="1:16" x14ac:dyDescent="0.45">
      <c r="A2" s="6">
        <v>5.4</v>
      </c>
      <c r="B2" s="3">
        <v>19.046405518887799</v>
      </c>
      <c r="C2" s="3">
        <v>43.121481058739697</v>
      </c>
      <c r="E2" s="2"/>
    </row>
    <row r="3" spans="1:16" x14ac:dyDescent="0.45">
      <c r="A3" s="6">
        <v>5.5</v>
      </c>
      <c r="B3" s="3">
        <v>19.87558626597388</v>
      </c>
      <c r="C3" s="3">
        <v>45.577490509008804</v>
      </c>
    </row>
    <row r="4" spans="1:16" x14ac:dyDescent="0.45">
      <c r="A4" s="6">
        <v>5.6</v>
      </c>
      <c r="B4" s="3">
        <v>20.93000715629827</v>
      </c>
      <c r="C4" s="3">
        <v>47.097825981118085</v>
      </c>
      <c r="P4" s="7"/>
    </row>
    <row r="5" spans="1:16" x14ac:dyDescent="0.45">
      <c r="A5" s="6">
        <v>5.7</v>
      </c>
      <c r="B5" s="3">
        <v>22.150264196039881</v>
      </c>
      <c r="C5" s="3">
        <v>47.523731524696174</v>
      </c>
      <c r="P5" s="7"/>
    </row>
    <row r="6" spans="1:16" x14ac:dyDescent="0.45">
      <c r="A6" s="6">
        <v>5.8</v>
      </c>
      <c r="B6" s="3">
        <v>23.328443406824878</v>
      </c>
      <c r="C6" s="3">
        <v>46.995118473004929</v>
      </c>
      <c r="P6" s="7"/>
    </row>
    <row r="7" spans="1:16" x14ac:dyDescent="0.45">
      <c r="A7" s="6">
        <v>5.9</v>
      </c>
      <c r="B7" s="3">
        <v>24.241779811824188</v>
      </c>
      <c r="C7" s="3">
        <v>46.936201078249113</v>
      </c>
      <c r="P7" s="7"/>
    </row>
    <row r="8" spans="1:16" x14ac:dyDescent="0.45">
      <c r="A8" s="6">
        <v>6</v>
      </c>
      <c r="B8" s="3">
        <v>24.875422412582502</v>
      </c>
      <c r="C8" s="3">
        <v>45.523664249514333</v>
      </c>
      <c r="P8" s="7"/>
    </row>
    <row r="9" spans="1:16" x14ac:dyDescent="0.45">
      <c r="A9" s="6">
        <v>6.1</v>
      </c>
      <c r="B9" s="3">
        <v>24.912549908720685</v>
      </c>
      <c r="C9" s="3">
        <v>44.030540822985245</v>
      </c>
      <c r="P9" s="7"/>
    </row>
    <row r="10" spans="1:16" x14ac:dyDescent="0.45">
      <c r="A10" s="6">
        <v>6.2</v>
      </c>
      <c r="B10" s="3">
        <v>24.707111096756083</v>
      </c>
      <c r="C10" s="3">
        <v>42.566045899510137</v>
      </c>
      <c r="P10" s="7"/>
    </row>
    <row r="11" spans="1:16" x14ac:dyDescent="0.45">
      <c r="A11" s="6">
        <v>6.3</v>
      </c>
      <c r="B11" s="3">
        <v>24.637806437298135</v>
      </c>
      <c r="C11" s="3">
        <v>42.449409524991076</v>
      </c>
      <c r="P11" s="7"/>
    </row>
    <row r="12" spans="1:16" x14ac:dyDescent="0.45">
      <c r="A12" s="6">
        <v>6.4</v>
      </c>
      <c r="B12" s="3">
        <v>24.791266754669298</v>
      </c>
      <c r="C12" s="3">
        <v>44.497392910215261</v>
      </c>
      <c r="P12" s="7"/>
    </row>
    <row r="13" spans="1:16" x14ac:dyDescent="0.45">
      <c r="A13" s="6">
        <v>6.5</v>
      </c>
      <c r="B13" s="3">
        <v>25.178630297710999</v>
      </c>
      <c r="C13" s="3">
        <v>46.607482925354105</v>
      </c>
      <c r="P13" s="7"/>
    </row>
    <row r="14" spans="1:16" x14ac:dyDescent="0.45">
      <c r="A14" s="6">
        <v>6.6</v>
      </c>
      <c r="B14" s="3">
        <v>25.811035315264714</v>
      </c>
      <c r="C14" s="3">
        <v>47.891826705564</v>
      </c>
      <c r="P14" s="7"/>
    </row>
    <row r="15" spans="1:16" x14ac:dyDescent="0.45">
      <c r="A15" s="6">
        <v>6.7</v>
      </c>
      <c r="B15" s="3">
        <v>26.367947757337458</v>
      </c>
      <c r="C15" s="3">
        <v>48.844781569120606</v>
      </c>
      <c r="P15" s="7"/>
    </row>
    <row r="16" spans="1:16" x14ac:dyDescent="0.45">
      <c r="A16" s="6">
        <v>6.8</v>
      </c>
      <c r="B16" s="3">
        <v>26.8456548743154</v>
      </c>
      <c r="C16" s="3">
        <v>49.251498433892777</v>
      </c>
      <c r="P16" s="7"/>
    </row>
    <row r="17" spans="1:16" x14ac:dyDescent="0.45">
      <c r="A17" s="6">
        <v>6.9</v>
      </c>
      <c r="B17" s="3">
        <v>27.411230398820393</v>
      </c>
      <c r="C17" s="3">
        <v>49.6</v>
      </c>
      <c r="P17" s="7"/>
    </row>
    <row r="18" spans="1:16" x14ac:dyDescent="0.45">
      <c r="A18" s="6">
        <v>7</v>
      </c>
      <c r="B18" s="3">
        <v>27.9817562561438</v>
      </c>
      <c r="C18" s="3">
        <v>50.5</v>
      </c>
      <c r="P18" s="7"/>
    </row>
    <row r="19" spans="1:16" x14ac:dyDescent="0.45">
      <c r="A19" s="6">
        <v>7.1</v>
      </c>
      <c r="B19" s="3">
        <v>28.557232446285632</v>
      </c>
      <c r="C19" s="3">
        <v>50.5</v>
      </c>
      <c r="P19" s="7"/>
    </row>
    <row r="20" spans="1:16" x14ac:dyDescent="0.45">
      <c r="A20" s="6">
        <v>7.2</v>
      </c>
      <c r="B20" s="3">
        <v>29.315870950709169</v>
      </c>
      <c r="C20" s="3">
        <v>50.5</v>
      </c>
      <c r="P20" s="7"/>
    </row>
    <row r="21" spans="1:16" x14ac:dyDescent="0.45">
      <c r="A21" s="6">
        <v>7.3</v>
      </c>
      <c r="B21" s="3">
        <v>30.445784416514538</v>
      </c>
      <c r="C21" s="3">
        <v>50.5</v>
      </c>
      <c r="P21" s="7"/>
    </row>
    <row r="22" spans="1:16" x14ac:dyDescent="0.45">
      <c r="A22" s="6">
        <v>7.4</v>
      </c>
      <c r="B22" s="3">
        <v>32.419729627861258</v>
      </c>
      <c r="C22" s="3">
        <v>51</v>
      </c>
      <c r="P22" s="7"/>
    </row>
    <row r="23" spans="1:16" x14ac:dyDescent="0.45">
      <c r="A23" s="6">
        <v>7.5</v>
      </c>
      <c r="B23" s="3">
        <v>34.064477706782753</v>
      </c>
      <c r="C23" s="3">
        <v>52</v>
      </c>
      <c r="P23" s="7"/>
    </row>
    <row r="24" spans="1:16" x14ac:dyDescent="0.45">
      <c r="A24" s="6">
        <v>7.6</v>
      </c>
      <c r="B24" s="3">
        <v>55.652999999999999</v>
      </c>
      <c r="C24" s="3">
        <f>Table1[[#This Row],[Power_hp]]*7121/(Table1[[#This Row],[RPM]]*1000)</f>
        <v>52.14539644736842</v>
      </c>
      <c r="P24" s="7"/>
    </row>
    <row r="25" spans="1:16" x14ac:dyDescent="0.45">
      <c r="A25" s="6">
        <v>7.6999999999999993</v>
      </c>
      <c r="B25" s="3">
        <v>57.679000000000002</v>
      </c>
      <c r="C25" s="3">
        <f>Table1[[#This Row],[Power_hp]]*7121/(Table1[[#This Row],[RPM]]*1000)</f>
        <v>53.341838831168843</v>
      </c>
      <c r="P25" s="7"/>
    </row>
    <row r="26" spans="1:16" x14ac:dyDescent="0.45">
      <c r="A26" s="6">
        <v>7.8000000000000007</v>
      </c>
      <c r="B26" s="3">
        <v>59.743000000000002</v>
      </c>
      <c r="C26" s="3">
        <f>Table1[[#This Row],[Power_hp]]*7121/(Table1[[#This Row],[RPM]]*1000)</f>
        <v>54.542295256410249</v>
      </c>
      <c r="P26" s="7"/>
    </row>
    <row r="27" spans="1:16" x14ac:dyDescent="0.45">
      <c r="A27" s="6">
        <v>7.9</v>
      </c>
      <c r="B27" s="3">
        <v>60.545000000000002</v>
      </c>
      <c r="C27" s="3">
        <f>Table1[[#This Row],[Power_hp]]*7121/(Table1[[#This Row],[RPM]]*1000)</f>
        <v>54.574803164556961</v>
      </c>
      <c r="P27" s="2"/>
    </row>
    <row r="28" spans="1:16" x14ac:dyDescent="0.45">
      <c r="A28" s="6">
        <v>8</v>
      </c>
      <c r="B28" s="3">
        <v>61.234999999999999</v>
      </c>
      <c r="C28" s="3">
        <f>Table1[[#This Row],[Power_hp]]*7121/(Table1[[#This Row],[RPM]]*1000)</f>
        <v>54.506804375000002</v>
      </c>
      <c r="P28" s="2"/>
    </row>
    <row r="29" spans="1:16" x14ac:dyDescent="0.45">
      <c r="A29" s="6">
        <v>8.1</v>
      </c>
      <c r="B29" s="3">
        <v>61.941000000000003</v>
      </c>
      <c r="C29" s="3">
        <f>Table1[[#This Row],[Power_hp]]*7121/(Table1[[#This Row],[RPM]]*1000)</f>
        <v>54.454550740740743</v>
      </c>
      <c r="P29" s="2"/>
    </row>
    <row r="30" spans="1:16" x14ac:dyDescent="0.45">
      <c r="A30" s="6">
        <v>8.1999999999999993</v>
      </c>
      <c r="B30" s="3">
        <v>62.649000000000001</v>
      </c>
      <c r="C30" s="3">
        <f>Table1[[#This Row],[Power_hp]]*7121/(Table1[[#This Row],[RPM]]*1000)</f>
        <v>54.405308414634142</v>
      </c>
      <c r="P30" s="2"/>
    </row>
    <row r="31" spans="1:16" x14ac:dyDescent="0.45">
      <c r="A31" s="6">
        <v>8.3000000000000007</v>
      </c>
      <c r="B31" s="3">
        <v>63.338999999999999</v>
      </c>
      <c r="C31" s="3">
        <f>Table1[[#This Row],[Power_hp]]*7121/(Table1[[#This Row],[RPM]]*1000)</f>
        <v>54.341809518072289</v>
      </c>
      <c r="P31" s="2"/>
    </row>
    <row r="32" spans="1:16" x14ac:dyDescent="0.45">
      <c r="A32" s="6">
        <v>8.4</v>
      </c>
      <c r="B32" s="3">
        <v>64.06</v>
      </c>
      <c r="C32" s="3">
        <f>Table1[[#This Row],[Power_hp]]*7121/(Table1[[#This Row],[RPM]]*1000)</f>
        <v>54.306102380952382</v>
      </c>
      <c r="P32" s="2"/>
    </row>
    <row r="33" spans="1:16" x14ac:dyDescent="0.45">
      <c r="A33" s="6">
        <v>8.5</v>
      </c>
      <c r="B33" s="3">
        <v>64.742999999999995</v>
      </c>
      <c r="C33" s="3">
        <f>Table1[[#This Row],[Power_hp]]*7121/(Table1[[#This Row],[RPM]]*1000)</f>
        <v>54.239400352941175</v>
      </c>
      <c r="P33" s="2"/>
    </row>
    <row r="34" spans="1:16" x14ac:dyDescent="0.45">
      <c r="A34" s="6">
        <v>8.6</v>
      </c>
      <c r="B34" s="3">
        <v>65.361999999999995</v>
      </c>
      <c r="C34" s="3">
        <f>Table1[[#This Row],[Power_hp]]*7121/(Table1[[#This Row],[RPM]]*1000)</f>
        <v>54.121256046511625</v>
      </c>
      <c r="P34" s="2"/>
    </row>
    <row r="35" spans="1:16" x14ac:dyDescent="0.45">
      <c r="A35" s="6">
        <v>8.6999999999999993</v>
      </c>
      <c r="B35" s="3">
        <v>65.861999999999995</v>
      </c>
      <c r="C35" s="3">
        <f>Table1[[#This Row],[Power_hp]]*7121/(Table1[[#This Row],[RPM]]*1000)</f>
        <v>53.908425517241376</v>
      </c>
      <c r="P35" s="2"/>
    </row>
    <row r="36" spans="1:16" x14ac:dyDescent="0.45">
      <c r="A36" s="6">
        <v>8.8000000000000007</v>
      </c>
      <c r="B36" s="3">
        <v>66.387</v>
      </c>
      <c r="C36" s="3">
        <f>Table1[[#This Row],[Power_hp]]*7121/(Table1[[#This Row],[RPM]]*1000)</f>
        <v>53.720662159090907</v>
      </c>
      <c r="P36" s="2"/>
    </row>
    <row r="37" spans="1:16" x14ac:dyDescent="0.45">
      <c r="A37" s="6">
        <v>8.9</v>
      </c>
      <c r="B37" s="3">
        <v>66.879000000000005</v>
      </c>
      <c r="C37" s="3">
        <f>Table1[[#This Row],[Power_hp]]*7121/(Table1[[#This Row],[RPM]]*1000)</f>
        <v>53.510714494382029</v>
      </c>
      <c r="P37" s="2"/>
    </row>
    <row r="38" spans="1:16" x14ac:dyDescent="0.45">
      <c r="A38" s="6">
        <v>9</v>
      </c>
      <c r="B38" s="3">
        <v>67.311000000000007</v>
      </c>
      <c r="C38" s="3">
        <f>Table1[[#This Row],[Power_hp]]*7121/(Table1[[#This Row],[RPM]]*1000)</f>
        <v>53.257959000000007</v>
      </c>
      <c r="P38" s="2"/>
    </row>
    <row r="39" spans="1:16" x14ac:dyDescent="0.45">
      <c r="A39" s="6">
        <v>9.1</v>
      </c>
      <c r="B39" s="3">
        <v>67.66</v>
      </c>
      <c r="C39" s="3">
        <f>Table1[[#This Row],[Power_hp]]*7121/(Table1[[#This Row],[RPM]]*1000)</f>
        <v>52.94580879120879</v>
      </c>
      <c r="P39" s="2"/>
    </row>
    <row r="40" spans="1:16" x14ac:dyDescent="0.45">
      <c r="A40" s="6">
        <v>9.1999999999999993</v>
      </c>
      <c r="B40" s="3">
        <v>67.91</v>
      </c>
      <c r="C40" s="3">
        <f>Table1[[#This Row],[Power_hp]]*7121/(Table1[[#This Row],[RPM]]*1000)</f>
        <v>52.563816304347824</v>
      </c>
      <c r="P40" s="2"/>
    </row>
    <row r="41" spans="1:16" x14ac:dyDescent="0.45">
      <c r="A41" s="6">
        <v>9.3000000000000007</v>
      </c>
      <c r="B41" s="3">
        <v>68.070999999999998</v>
      </c>
      <c r="C41" s="3">
        <f>Table1[[#This Row],[Power_hp]]*7121/(Table1[[#This Row],[RPM]]*1000)</f>
        <v>52.12189150537634</v>
      </c>
      <c r="P41" s="2"/>
    </row>
    <row r="42" spans="1:16" x14ac:dyDescent="0.45">
      <c r="A42" s="6">
        <v>9.4</v>
      </c>
      <c r="B42" s="3">
        <v>68.203999999999994</v>
      </c>
      <c r="C42" s="3">
        <f>Table1[[#This Row],[Power_hp]]*7121/(Table1[[#This Row],[RPM]]*1000)</f>
        <v>51.668157872340423</v>
      </c>
      <c r="P42" s="2"/>
    </row>
    <row r="43" spans="1:16" x14ac:dyDescent="0.45">
      <c r="A43" s="6">
        <v>9.5</v>
      </c>
      <c r="B43" s="3">
        <v>68.215000000000003</v>
      </c>
      <c r="C43" s="3">
        <f>Table1[[#This Row],[Power_hp]]*7121/(Table1[[#This Row],[RPM]]*1000)</f>
        <v>51.132527894736846</v>
      </c>
      <c r="P43" s="2"/>
    </row>
    <row r="44" spans="1:16" x14ac:dyDescent="0.45">
      <c r="A44" s="6">
        <v>9.6</v>
      </c>
      <c r="B44" s="3">
        <v>68.179000000000002</v>
      </c>
      <c r="C44" s="3">
        <f>Table1[[#This Row],[Power_hp]]*7121/(Table1[[#This Row],[RPM]]*1000)</f>
        <v>50.573193645833335</v>
      </c>
      <c r="P44" s="2"/>
    </row>
    <row r="45" spans="1:16" x14ac:dyDescent="0.45">
      <c r="A45" s="6">
        <v>9.6999999999999993</v>
      </c>
      <c r="B45" s="3">
        <v>68.16</v>
      </c>
      <c r="C45" s="3">
        <f>Table1[[#This Row],[Power_hp]]*7121/(Table1[[#This Row],[RPM]]*1000)</f>
        <v>50.037872164948453</v>
      </c>
      <c r="P45" s="2"/>
    </row>
    <row r="46" spans="1:16" x14ac:dyDescent="0.45">
      <c r="A46" s="6">
        <v>9.8000000000000007</v>
      </c>
      <c r="B46" s="3">
        <v>68.135999999999996</v>
      </c>
      <c r="C46" s="3">
        <f>Table1[[#This Row],[Power_hp]]*7121/(Table1[[#This Row],[RPM]]*1000)</f>
        <v>49.509842448979583</v>
      </c>
      <c r="P46" s="2"/>
    </row>
    <row r="47" spans="1:16" x14ac:dyDescent="0.45">
      <c r="A47" s="6">
        <v>9.9</v>
      </c>
      <c r="B47" s="3">
        <v>68.106999999999999</v>
      </c>
      <c r="C47" s="3">
        <f>Table1[[#This Row],[Power_hp]]*7121/(Table1[[#This Row],[RPM]]*1000)</f>
        <v>48.988883535353537</v>
      </c>
      <c r="P47" s="2"/>
    </row>
    <row r="48" spans="1:16" x14ac:dyDescent="0.45">
      <c r="A48" s="6">
        <v>10</v>
      </c>
      <c r="B48" s="3">
        <v>68.144999999999996</v>
      </c>
      <c r="C48" s="3">
        <f>Table1[[#This Row],[Power_hp]]*7121/(Table1[[#This Row],[RPM]]*1000)</f>
        <v>48.526054500000001</v>
      </c>
      <c r="P48" s="2"/>
    </row>
    <row r="49" spans="1:16" x14ac:dyDescent="0.45">
      <c r="A49" s="6">
        <v>10.1</v>
      </c>
      <c r="B49" s="3">
        <v>68.108000000000004</v>
      </c>
      <c r="C49" s="3">
        <f>Table1[[#This Row],[Power_hp]]*7121/(Table1[[#This Row],[RPM]]*1000)</f>
        <v>48.019511683168318</v>
      </c>
      <c r="P49" s="2"/>
    </row>
    <row r="50" spans="1:16" x14ac:dyDescent="0.45">
      <c r="A50" s="6">
        <v>10.199999999999999</v>
      </c>
      <c r="B50" s="3">
        <v>68.03</v>
      </c>
      <c r="C50" s="3">
        <f>Table1[[#This Row],[Power_hp]]*7121/(Table1[[#This Row],[RPM]]*1000)</f>
        <v>47.494277450980391</v>
      </c>
      <c r="P50" s="2"/>
    </row>
    <row r="51" spans="1:16" x14ac:dyDescent="0.45">
      <c r="A51" s="6">
        <v>10.3</v>
      </c>
      <c r="B51" s="3">
        <v>68.061999999999998</v>
      </c>
      <c r="C51" s="3">
        <f>Table1[[#This Row],[Power_hp]]*7121/(Table1[[#This Row],[RPM]]*1000)</f>
        <v>47.055291456310677</v>
      </c>
      <c r="P51" s="2"/>
    </row>
    <row r="52" spans="1:16" x14ac:dyDescent="0.45">
      <c r="A52" s="6">
        <v>10.4</v>
      </c>
      <c r="B52" s="3">
        <v>68.221999999999994</v>
      </c>
      <c r="C52" s="3">
        <f>Table1[[#This Row],[Power_hp]]*7121/(Table1[[#This Row],[RPM]]*1000)</f>
        <v>46.71239057692307</v>
      </c>
      <c r="P52" s="2"/>
    </row>
    <row r="53" spans="1:16" x14ac:dyDescent="0.45">
      <c r="A53" s="6">
        <v>10.5</v>
      </c>
      <c r="B53" s="3">
        <v>68.378</v>
      </c>
      <c r="C53" s="3">
        <f>Table1[[#This Row],[Power_hp]]*7121/(Table1[[#This Row],[RPM]]*1000)</f>
        <v>46.373308380952381</v>
      </c>
      <c r="P53" s="2"/>
    </row>
    <row r="54" spans="1:16" x14ac:dyDescent="0.45">
      <c r="A54" s="6">
        <v>10.6</v>
      </c>
      <c r="B54" s="3">
        <v>68.474000000000004</v>
      </c>
      <c r="C54" s="3">
        <f>Table1[[#This Row],[Power_hp]]*7121/(Table1[[#This Row],[RPM]]*1000)</f>
        <v>46.000316415094346</v>
      </c>
      <c r="P54" s="2"/>
    </row>
    <row r="55" spans="1:16" x14ac:dyDescent="0.45">
      <c r="A55" s="6">
        <v>10.7</v>
      </c>
      <c r="B55" s="3">
        <v>68.507000000000005</v>
      </c>
      <c r="C55" s="3">
        <f>Table1[[#This Row],[Power_hp]]*7121/(Table1[[#This Row],[RPM]]*1000)</f>
        <v>45.592368878504672</v>
      </c>
      <c r="P55" s="2"/>
    </row>
    <row r="56" spans="1:16" x14ac:dyDescent="0.45">
      <c r="A56" s="6">
        <v>10.8</v>
      </c>
      <c r="B56" s="3">
        <v>68.581000000000003</v>
      </c>
      <c r="C56" s="3">
        <f>Table1[[#This Row],[Power_hp]]*7121/(Table1[[#This Row],[RPM]]*1000)</f>
        <v>45.219009351851852</v>
      </c>
      <c r="P56" s="2"/>
    </row>
    <row r="57" spans="1:16" x14ac:dyDescent="0.45">
      <c r="A57" s="6">
        <v>10.9</v>
      </c>
      <c r="B57" s="3">
        <v>68.804000000000002</v>
      </c>
      <c r="C57" s="3">
        <f>Table1[[#This Row],[Power_hp]]*7121/(Table1[[#This Row],[RPM]]*1000)</f>
        <v>44.949842568807341</v>
      </c>
      <c r="P57" s="2"/>
    </row>
    <row r="58" spans="1:16" x14ac:dyDescent="0.45">
      <c r="A58" s="6">
        <v>11</v>
      </c>
      <c r="B58" s="3">
        <v>68.941000000000003</v>
      </c>
      <c r="C58" s="3">
        <f>Table1[[#This Row],[Power_hp]]*7121/(Table1[[#This Row],[RPM]]*1000)</f>
        <v>44.62989645454546</v>
      </c>
      <c r="P58" s="2"/>
    </row>
    <row r="59" spans="1:16" x14ac:dyDescent="0.45">
      <c r="A59" s="6">
        <v>11.1</v>
      </c>
      <c r="B59" s="3">
        <v>69.046999999999997</v>
      </c>
      <c r="C59" s="3">
        <f>Table1[[#This Row],[Power_hp]]*7121/(Table1[[#This Row],[RPM]]*1000)</f>
        <v>44.295827657657654</v>
      </c>
      <c r="P59" s="2"/>
    </row>
    <row r="60" spans="1:16" x14ac:dyDescent="0.45">
      <c r="A60" s="6">
        <v>11.2</v>
      </c>
      <c r="B60" s="3">
        <v>69.239000000000004</v>
      </c>
      <c r="C60" s="3">
        <f>Table1[[#This Row],[Power_hp]]*7121/(Table1[[#This Row],[RPM]]*1000)</f>
        <v>44.022403482142863</v>
      </c>
      <c r="P60" s="2"/>
    </row>
    <row r="61" spans="1:16" x14ac:dyDescent="0.45">
      <c r="A61" s="6">
        <v>11.3</v>
      </c>
      <c r="B61" s="3">
        <v>69.191000000000003</v>
      </c>
      <c r="C61" s="3">
        <f>Table1[[#This Row],[Power_hp]]*7121/(Table1[[#This Row],[RPM]]*1000)</f>
        <v>43.602576194690272</v>
      </c>
      <c r="P61" s="2"/>
    </row>
    <row r="62" spans="1:16" x14ac:dyDescent="0.45">
      <c r="A62" s="6">
        <v>11.4</v>
      </c>
      <c r="B62" s="3">
        <v>69.046999999999997</v>
      </c>
      <c r="C62" s="3">
        <f>Table1[[#This Row],[Power_hp]]*7121/(Table1[[#This Row],[RPM]]*1000)</f>
        <v>43.130147982456137</v>
      </c>
      <c r="P62" s="2"/>
    </row>
    <row r="63" spans="1:16" x14ac:dyDescent="0.45">
      <c r="A63" s="6">
        <v>11.5</v>
      </c>
      <c r="B63" s="3">
        <v>68.932000000000002</v>
      </c>
      <c r="C63" s="3">
        <f>Table1[[#This Row],[Power_hp]]*7121/(Table1[[#This Row],[RPM]]*1000)</f>
        <v>42.683893217391301</v>
      </c>
      <c r="P63" s="2"/>
    </row>
    <row r="64" spans="1:16" x14ac:dyDescent="0.45">
      <c r="A64" s="6">
        <v>11.6</v>
      </c>
      <c r="B64" s="3">
        <v>68.763000000000005</v>
      </c>
      <c r="C64" s="3">
        <f>Table1[[#This Row],[Power_hp]]*7121/(Table1[[#This Row],[RPM]]*1000)</f>
        <v>42.212183017241379</v>
      </c>
      <c r="P64" s="2"/>
    </row>
    <row r="65" spans="1:16" x14ac:dyDescent="0.45">
      <c r="A65" s="6">
        <v>11.7</v>
      </c>
      <c r="B65" s="3">
        <v>68.566000000000003</v>
      </c>
      <c r="C65" s="3">
        <f>Table1[[#This Row],[Power_hp]]*7121/(Table1[[#This Row],[RPM]]*1000)</f>
        <v>41.731494529914535</v>
      </c>
      <c r="P65" s="2"/>
    </row>
    <row r="66" spans="1:16" x14ac:dyDescent="0.45">
      <c r="A66" s="6">
        <v>11.8</v>
      </c>
      <c r="B66" s="3">
        <v>68.403000000000006</v>
      </c>
      <c r="C66" s="3">
        <f>Table1[[#This Row],[Power_hp]]*7121/(Table1[[#This Row],[RPM]]*1000)</f>
        <v>41.279471440677966</v>
      </c>
      <c r="P66" s="2"/>
    </row>
    <row r="67" spans="1:16" x14ac:dyDescent="0.45">
      <c r="A67" s="6">
        <v>11.9</v>
      </c>
      <c r="B67" s="3">
        <v>68.251999999999995</v>
      </c>
      <c r="C67" s="3">
        <f>Table1[[#This Row],[Power_hp]]*7121/(Table1[[#This Row],[RPM]]*1000)</f>
        <v>40.84222621848739</v>
      </c>
      <c r="P67" s="2"/>
    </row>
    <row r="68" spans="1:16" x14ac:dyDescent="0.45">
      <c r="A68" s="6">
        <v>12</v>
      </c>
      <c r="B68" s="3">
        <v>68.129000000000005</v>
      </c>
      <c r="C68" s="3">
        <f>Table1[[#This Row],[Power_hp]]*7121/(Table1[[#This Row],[RPM]]*1000)</f>
        <v>40.428884083333337</v>
      </c>
      <c r="P68" s="2"/>
    </row>
    <row r="69" spans="1:16" x14ac:dyDescent="0.45">
      <c r="A69" s="6">
        <v>12.1</v>
      </c>
      <c r="B69" s="3">
        <v>67.944000000000003</v>
      </c>
      <c r="C69" s="3">
        <f>Table1[[#This Row],[Power_hp]]*7121/(Table1[[#This Row],[RPM]]*1000)</f>
        <v>39.985886280991743</v>
      </c>
      <c r="P69" s="2"/>
    </row>
    <row r="70" spans="1:16" x14ac:dyDescent="0.45">
      <c r="A70" s="6">
        <v>12.2</v>
      </c>
      <c r="B70" s="3">
        <v>67.823999999999998</v>
      </c>
      <c r="C70" s="3">
        <f>Table1[[#This Row],[Power_hp]]*7121/(Table1[[#This Row],[RPM]]*1000)</f>
        <v>39.588090491803278</v>
      </c>
      <c r="P70" s="2"/>
    </row>
    <row r="71" spans="1:16" x14ac:dyDescent="0.45">
      <c r="A71" s="6">
        <v>12.3</v>
      </c>
      <c r="B71" s="3">
        <v>67.876999999999995</v>
      </c>
      <c r="C71" s="3">
        <f>Table1[[#This Row],[Power_hp]]*7121/(Table1[[#This Row],[RPM]]*1000)</f>
        <v>39.296920081300811</v>
      </c>
      <c r="P71" s="2"/>
    </row>
    <row r="72" spans="1:16" x14ac:dyDescent="0.45">
      <c r="A72" s="6">
        <v>12.4</v>
      </c>
      <c r="B72" s="3">
        <v>67.849000000000004</v>
      </c>
      <c r="C72" s="3">
        <f>Table1[[#This Row],[Power_hp]]*7121/(Table1[[#This Row],[RPM]]*1000)</f>
        <v>38.963929758064523</v>
      </c>
      <c r="P72" s="2"/>
    </row>
    <row r="73" spans="1:16" x14ac:dyDescent="0.45">
      <c r="A73" s="6">
        <v>12.5</v>
      </c>
      <c r="B73" s="3">
        <v>67.908000000000001</v>
      </c>
      <c r="C73" s="3">
        <f>Table1[[#This Row],[Power_hp]]*7121/(Table1[[#This Row],[RPM]]*1000)</f>
        <v>38.685829439999999</v>
      </c>
      <c r="P73" s="2"/>
    </row>
    <row r="74" spans="1:16" x14ac:dyDescent="0.45">
      <c r="A74" s="6">
        <v>12.6</v>
      </c>
      <c r="B74" s="3">
        <v>67.831999999999994</v>
      </c>
      <c r="C74" s="3">
        <f>Table1[[#This Row],[Power_hp]]*7121/(Table1[[#This Row],[RPM]]*1000)</f>
        <v>38.335846984126981</v>
      </c>
      <c r="P74" s="2"/>
    </row>
    <row r="75" spans="1:16" x14ac:dyDescent="0.45">
      <c r="A75" s="6">
        <v>12.7</v>
      </c>
      <c r="B75" s="3">
        <v>67.418000000000006</v>
      </c>
      <c r="C75" s="3">
        <f>Table1[[#This Row],[Power_hp]]*7121/(Table1[[#This Row],[RPM]]*1000)</f>
        <v>37.801856535433075</v>
      </c>
      <c r="P75" s="2"/>
    </row>
    <row r="76" spans="1:16" x14ac:dyDescent="0.45">
      <c r="A76" s="6">
        <v>12.8</v>
      </c>
      <c r="B76" s="3">
        <v>67.123000000000005</v>
      </c>
      <c r="C76" s="3">
        <f>Table1[[#This Row],[Power_hp]]*7121/(Table1[[#This Row],[RPM]]*1000)</f>
        <v>37.342412734375003</v>
      </c>
      <c r="P76" s="2"/>
    </row>
    <row r="77" spans="1:16" x14ac:dyDescent="0.45">
      <c r="A77" s="6">
        <v>12.9</v>
      </c>
      <c r="B77" s="3">
        <v>66.885000000000005</v>
      </c>
      <c r="C77" s="3">
        <f>Table1[[#This Row],[Power_hp]]*7121/(Table1[[#This Row],[RPM]]*1000)</f>
        <v>36.921556976744185</v>
      </c>
      <c r="P77" s="2"/>
    </row>
    <row r="78" spans="1:16" x14ac:dyDescent="0.45">
      <c r="A78" s="6">
        <v>13</v>
      </c>
      <c r="B78" s="3">
        <v>66.781999999999996</v>
      </c>
      <c r="C78" s="3">
        <f>Table1[[#This Row],[Power_hp]]*7121/(Table1[[#This Row],[RPM]]*1000)</f>
        <v>36.581124769230769</v>
      </c>
      <c r="P78" s="2"/>
    </row>
    <row r="79" spans="1:16" x14ac:dyDescent="0.45">
      <c r="A79" s="6">
        <v>13.1</v>
      </c>
      <c r="B79" s="3">
        <v>66.712000000000003</v>
      </c>
      <c r="C79" s="3">
        <f>Table1[[#This Row],[Power_hp]]*7121/(Table1[[#This Row],[RPM]]*1000)</f>
        <v>36.263828396946565</v>
      </c>
      <c r="P79" s="2"/>
    </row>
    <row r="80" spans="1:16" x14ac:dyDescent="0.45">
      <c r="A80" s="6">
        <v>13.2</v>
      </c>
      <c r="B80" s="3">
        <v>66.591999999999999</v>
      </c>
      <c r="C80" s="3">
        <f>Table1[[#This Row],[Power_hp]]*7121/(Table1[[#This Row],[RPM]]*1000)</f>
        <v>35.924366060606062</v>
      </c>
      <c r="P80" s="2"/>
    </row>
    <row r="81" spans="1:16" x14ac:dyDescent="0.45">
      <c r="A81" s="6">
        <v>13.3</v>
      </c>
      <c r="B81" s="3">
        <v>66.513000000000005</v>
      </c>
      <c r="C81" s="3">
        <f>Table1[[#This Row],[Power_hp]]*7121/(Table1[[#This Row],[RPM]]*1000)</f>
        <v>35.611960375939852</v>
      </c>
      <c r="P81" s="2"/>
    </row>
    <row r="82" spans="1:16" x14ac:dyDescent="0.45">
      <c r="A82" s="6">
        <v>13.4</v>
      </c>
      <c r="B82" s="3">
        <v>66.453999999999994</v>
      </c>
      <c r="C82" s="3">
        <f>Table1[[#This Row],[Power_hp]]*7121/(Table1[[#This Row],[RPM]]*1000)</f>
        <v>35.31484582089552</v>
      </c>
      <c r="P82" s="2"/>
    </row>
    <row r="83" spans="1:16" x14ac:dyDescent="0.45">
      <c r="A83" s="6">
        <v>13.5</v>
      </c>
      <c r="B83" s="3">
        <v>66.417000000000002</v>
      </c>
      <c r="C83" s="3">
        <f>Table1[[#This Row],[Power_hp]]*7121/(Table1[[#This Row],[RPM]]*1000)</f>
        <v>35.033737555555554</v>
      </c>
      <c r="P83" s="2"/>
    </row>
    <row r="84" spans="1:16" x14ac:dyDescent="0.45">
      <c r="A84" s="6">
        <v>13.6</v>
      </c>
      <c r="B84" s="3">
        <v>66.126000000000005</v>
      </c>
      <c r="C84" s="3">
        <f>Table1[[#This Row],[Power_hp]]*7121/(Table1[[#This Row],[RPM]]*1000)</f>
        <v>34.623768088235295</v>
      </c>
      <c r="P84" s="2"/>
    </row>
    <row r="85" spans="1:16" x14ac:dyDescent="0.45">
      <c r="A85" s="6">
        <v>13.7</v>
      </c>
      <c r="B85" s="3">
        <v>65.692999999999998</v>
      </c>
      <c r="C85" s="3">
        <f>Table1[[#This Row],[Power_hp]]*7121/(Table1[[#This Row],[RPM]]*1000)</f>
        <v>34.145974671532848</v>
      </c>
      <c r="P85" s="2"/>
    </row>
    <row r="86" spans="1:16" x14ac:dyDescent="0.45">
      <c r="A86" s="6">
        <v>13.8</v>
      </c>
      <c r="B86" s="3">
        <v>65.162000000000006</v>
      </c>
      <c r="C86" s="3">
        <f>Table1[[#This Row],[Power_hp]]*7121/(Table1[[#This Row],[RPM]]*1000)</f>
        <v>33.624536376811598</v>
      </c>
      <c r="P86" s="2"/>
    </row>
    <row r="87" spans="1:16" x14ac:dyDescent="0.45">
      <c r="A87" s="6">
        <v>13.9</v>
      </c>
      <c r="B87" s="3">
        <v>64.564999999999998</v>
      </c>
      <c r="C87" s="3">
        <f>Table1[[#This Row],[Power_hp]]*7121/(Table1[[#This Row],[RPM]]*1000)</f>
        <v>33.076788848920863</v>
      </c>
      <c r="P87" s="2"/>
    </row>
    <row r="88" spans="1:16" x14ac:dyDescent="0.45">
      <c r="A88" s="6">
        <v>14</v>
      </c>
      <c r="B88" s="3">
        <v>63.790999999999997</v>
      </c>
      <c r="C88" s="3">
        <f>Table1[[#This Row],[Power_hp]]*7121/(Table1[[#This Row],[RPM]]*1000)</f>
        <v>32.446836499999996</v>
      </c>
      <c r="P88" s="2"/>
    </row>
    <row r="89" spans="1:16" x14ac:dyDescent="0.45">
      <c r="A89" s="6">
        <v>14.1</v>
      </c>
      <c r="B89" s="3">
        <v>63.165999999999997</v>
      </c>
      <c r="C89" s="3">
        <f>Table1[[#This Row],[Power_hp]]*7121/(Table1[[#This Row],[RPM]]*1000)</f>
        <v>31.901069929078012</v>
      </c>
      <c r="P89" s="2"/>
    </row>
    <row r="90" spans="1:16" x14ac:dyDescent="0.45">
      <c r="A90" s="6">
        <v>14.2</v>
      </c>
      <c r="B90" s="3">
        <v>62.575000000000003</v>
      </c>
      <c r="C90" s="3">
        <f>Table1[[#This Row],[Power_hp]]*7121/(Table1[[#This Row],[RPM]]*1000)</f>
        <v>31.380040492957747</v>
      </c>
      <c r="P90" s="2"/>
    </row>
    <row r="91" spans="1:16" x14ac:dyDescent="0.45">
      <c r="A91" s="6">
        <v>14.3</v>
      </c>
      <c r="B91" s="3">
        <v>61.906999999999996</v>
      </c>
      <c r="C91" s="3">
        <f>Table1[[#This Row],[Power_hp]]*7121/(Table1[[#This Row],[RPM]]*1000)</f>
        <v>30.827954335664334</v>
      </c>
      <c r="P91" s="2"/>
    </row>
    <row r="92" spans="1:16" x14ac:dyDescent="0.45">
      <c r="A92" s="6">
        <v>14.4</v>
      </c>
      <c r="B92" s="3">
        <v>61.125</v>
      </c>
      <c r="C92" s="3">
        <f>Table1[[#This Row],[Power_hp]]*7121/(Table1[[#This Row],[RPM]]*1000)</f>
        <v>30.227161458333335</v>
      </c>
      <c r="P92" s="2"/>
    </row>
    <row r="93" spans="1:16" x14ac:dyDescent="0.45">
      <c r="A93" s="6">
        <v>14.5</v>
      </c>
      <c r="B93" s="3">
        <v>60.371000000000002</v>
      </c>
      <c r="C93" s="3">
        <f>Table1[[#This Row],[Power_hp]]*7121/(Table1[[#This Row],[RPM]]*1000)</f>
        <v>29.648406275862069</v>
      </c>
      <c r="P93" s="2"/>
    </row>
    <row r="94" spans="1:16" x14ac:dyDescent="0.45">
      <c r="A94" s="6">
        <v>14.600000000000001</v>
      </c>
      <c r="B94" s="3">
        <v>59.71</v>
      </c>
      <c r="C94" s="3">
        <f>Table1[[#This Row],[Power_hp]]*7121/(Table1[[#This Row],[RPM]]*1000)</f>
        <v>29.12293904109589</v>
      </c>
      <c r="P94" s="2"/>
    </row>
    <row r="95" spans="1:16" x14ac:dyDescent="0.45">
      <c r="A95" s="6">
        <v>14.7</v>
      </c>
      <c r="B95" s="3">
        <v>59.151000000000003</v>
      </c>
      <c r="C95" s="3">
        <f>Table1[[#This Row],[Power_hp]]*7121/(Table1[[#This Row],[RPM]]*1000)</f>
        <v>28.654032040816325</v>
      </c>
      <c r="P95" s="2"/>
    </row>
    <row r="96" spans="1:16" x14ac:dyDescent="0.45">
      <c r="A96" s="6">
        <v>14.8</v>
      </c>
      <c r="B96" s="3">
        <v>58.558999999999997</v>
      </c>
      <c r="C96" s="3">
        <f>Table1[[#This Row],[Power_hp]]*7121/(Table1[[#This Row],[RPM]]*1000)</f>
        <v>28.175583716216213</v>
      </c>
      <c r="P96" s="2"/>
    </row>
    <row r="97" spans="1:16" x14ac:dyDescent="0.45">
      <c r="A97" s="6">
        <v>15</v>
      </c>
      <c r="B97" s="3">
        <v>58.558999999999997</v>
      </c>
      <c r="C97" s="3">
        <f>Table1[[#This Row],[Power_hp]]*7121/(Table1[[#This Row],[RPM]]*1000)</f>
        <v>27.799909266666663</v>
      </c>
      <c r="P97" s="2"/>
    </row>
    <row r="98" spans="1:16" x14ac:dyDescent="0.45">
      <c r="A98" s="6">
        <v>15.5</v>
      </c>
      <c r="B98" s="3">
        <v>58.558999999999997</v>
      </c>
      <c r="C98" s="3">
        <f>Table1[[#This Row],[Power_hp]]*7121/(Table1[[#This Row],[RPM]]*1000)</f>
        <v>26.903137999999998</v>
      </c>
      <c r="P98" s="2"/>
    </row>
    <row r="99" spans="1:16" x14ac:dyDescent="0.45">
      <c r="P99" s="2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Fleschner</dc:creator>
  <cp:lastModifiedBy>Kieran Seven</cp:lastModifiedBy>
  <dcterms:created xsi:type="dcterms:W3CDTF">2025-07-16T23:04:46Z</dcterms:created>
  <dcterms:modified xsi:type="dcterms:W3CDTF">2026-03-06T19:26:40Z</dcterms:modified>
</cp:coreProperties>
</file>