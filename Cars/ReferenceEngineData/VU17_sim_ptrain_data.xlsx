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seven_villanova_edu/Documents/Documents/5-NovaRacing/Overall Vehicle 2026/Lap Sim/GGV Lap Sim 2/EngineData/"/>
    </mc:Choice>
  </mc:AlternateContent>
  <xr:revisionPtr revIDLastSave="88" documentId="13_ncr:1_{7768B2FA-55A4-4B46-9D36-DBE0D34744F5}" xr6:coauthVersionLast="47" xr6:coauthVersionMax="47" xr10:uidLastSave="{41A85889-C7A1-4620-B420-D9A422DF6EE4}"/>
  <bookViews>
    <workbookView xWindow="11918" yWindow="0" windowWidth="12165" windowHeight="14362" xr2:uid="{F70E0187-1A88-4016-AD09-0C0C722B1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47" i="1"/>
</calcChain>
</file>

<file path=xl/sharedStrings.xml><?xml version="1.0" encoding="utf-8"?>
<sst xmlns="http://schemas.openxmlformats.org/spreadsheetml/2006/main" count="3" uniqueCount="3">
  <si>
    <t>RPM</t>
  </si>
  <si>
    <t>Power_hp</t>
  </si>
  <si>
    <t>Torque_Nm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</si>
</sst>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Torque_Nm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Sheet1!$A$2:$A$98</c:f>
              <c:numCache>
                <c:formatCode>0</c:formatCode>
                <c:ptCount val="97"/>
                <c:pt idx="0">
                  <c:v>1000</c:v>
                </c:pt>
                <c:pt idx="1">
                  <c:v>3999.94140625</c:v>
                </c:pt>
                <c:pt idx="2">
                  <c:v>4250.029296875</c:v>
                </c:pt>
                <c:pt idx="3">
                  <c:v>4500.00732421875</c:v>
                </c:pt>
                <c:pt idx="4">
                  <c:v>4750.009765625</c:v>
                </c:pt>
                <c:pt idx="5">
                  <c:v>5000.0380859375</c:v>
                </c:pt>
                <c:pt idx="6">
                  <c:v>5250.02392578125</c:v>
                </c:pt>
                <c:pt idx="7">
                  <c:v>5500.02294921875</c:v>
                </c:pt>
                <c:pt idx="8">
                  <c:v>5749.96142578125</c:v>
                </c:pt>
                <c:pt idx="9">
                  <c:v>5999.95751953125</c:v>
                </c:pt>
                <c:pt idx="10">
                  <c:v>6249.97509765625</c:v>
                </c:pt>
                <c:pt idx="11">
                  <c:v>6499.9921875</c:v>
                </c:pt>
                <c:pt idx="12">
                  <c:v>6749.98486328125</c:v>
                </c:pt>
                <c:pt idx="13">
                  <c:v>7000.009765625</c:v>
                </c:pt>
                <c:pt idx="14">
                  <c:v>7250.013671875</c:v>
                </c:pt>
                <c:pt idx="15">
                  <c:v>7499.970703125</c:v>
                </c:pt>
                <c:pt idx="16">
                  <c:v>7750.02783203125</c:v>
                </c:pt>
                <c:pt idx="17">
                  <c:v>8000.080078125</c:v>
                </c:pt>
                <c:pt idx="18">
                  <c:v>8249.953125</c:v>
                </c:pt>
                <c:pt idx="19">
                  <c:v>8500.0224609375</c:v>
                </c:pt>
                <c:pt idx="20">
                  <c:v>8750.0029296875</c:v>
                </c:pt>
                <c:pt idx="21">
                  <c:v>8999.9755859375</c:v>
                </c:pt>
                <c:pt idx="22">
                  <c:v>9250.0244140625</c:v>
                </c:pt>
                <c:pt idx="23">
                  <c:v>9499.9775390625</c:v>
                </c:pt>
                <c:pt idx="24">
                  <c:v>9749.9716796875</c:v>
                </c:pt>
                <c:pt idx="25">
                  <c:v>9999.994140625</c:v>
                </c:pt>
                <c:pt idx="26">
                  <c:v>10249.9931640625</c:v>
                </c:pt>
                <c:pt idx="27">
                  <c:v>10500.0087890625</c:v>
                </c:pt>
                <c:pt idx="28">
                  <c:v>10749.9951171875</c:v>
                </c:pt>
                <c:pt idx="29">
                  <c:v>10999.9990234375</c:v>
                </c:pt>
                <c:pt idx="30">
                  <c:v>11250</c:v>
                </c:pt>
                <c:pt idx="31">
                  <c:v>11500.015625</c:v>
                </c:pt>
                <c:pt idx="32">
                  <c:v>11750.015625</c:v>
                </c:pt>
                <c:pt idx="33">
                  <c:v>12000.0390625</c:v>
                </c:pt>
                <c:pt idx="34">
                  <c:v>12250.0166015625</c:v>
                </c:pt>
                <c:pt idx="35">
                  <c:v>12499.9931640625</c:v>
                </c:pt>
                <c:pt idx="36">
                  <c:v>12750.01953125</c:v>
                </c:pt>
                <c:pt idx="37">
                  <c:v>13000.0380859375</c:v>
                </c:pt>
                <c:pt idx="38">
                  <c:v>13249.9697265625</c:v>
                </c:pt>
                <c:pt idx="39">
                  <c:v>13499.9775390625</c:v>
                </c:pt>
                <c:pt idx="40">
                  <c:v>13750.0009765625</c:v>
                </c:pt>
                <c:pt idx="41">
                  <c:v>13999.95703125</c:v>
                </c:pt>
                <c:pt idx="42">
                  <c:v>14249.9912109375</c:v>
                </c:pt>
                <c:pt idx="43">
                  <c:v>14499.9931640625</c:v>
                </c:pt>
                <c:pt idx="44">
                  <c:v>14749.91015625</c:v>
                </c:pt>
                <c:pt idx="45">
                  <c:v>14999.9306640625</c:v>
                </c:pt>
              </c:numCache>
            </c:numRef>
          </c:xVal>
          <c:yVal>
            <c:numRef>
              <c:f>Sheet1!$C$2:$C$98</c:f>
              <c:numCache>
                <c:formatCode>0.00</c:formatCode>
                <c:ptCount val="97"/>
                <c:pt idx="0">
                  <c:v>30</c:v>
                </c:pt>
                <c:pt idx="1">
                  <c:v>50.731154186752583</c:v>
                </c:pt>
                <c:pt idx="2">
                  <c:v>53.620577069422126</c:v>
                </c:pt>
                <c:pt idx="3">
                  <c:v>55.409207036609516</c:v>
                </c:pt>
                <c:pt idx="4">
                  <c:v>55.910272381995505</c:v>
                </c:pt>
                <c:pt idx="5">
                  <c:v>55.288374674123446</c:v>
                </c:pt>
                <c:pt idx="6">
                  <c:v>55.219060092057781</c:v>
                </c:pt>
                <c:pt idx="7">
                  <c:v>53.557252058252161</c:v>
                </c:pt>
                <c:pt idx="8">
                  <c:v>51.80063626233558</c:v>
                </c:pt>
                <c:pt idx="9">
                  <c:v>50.077701058247222</c:v>
                </c:pt>
                <c:pt idx="10">
                  <c:v>49.94048179410715</c:v>
                </c:pt>
                <c:pt idx="11">
                  <c:v>52.349874012017956</c:v>
                </c:pt>
                <c:pt idx="12">
                  <c:v>54.832332853357777</c:v>
                </c:pt>
                <c:pt idx="13">
                  <c:v>56.343325535957646</c:v>
                </c:pt>
                <c:pt idx="14">
                  <c:v>57.464448904847771</c:v>
                </c:pt>
                <c:pt idx="15">
                  <c:v>57.942939333991504</c:v>
                </c:pt>
                <c:pt idx="16">
                  <c:v>58.255064279396784</c:v>
                </c:pt>
                <c:pt idx="17">
                  <c:v>59.094607016567934</c:v>
                </c:pt>
                <c:pt idx="18">
                  <c:v>60.618936355817297</c:v>
                </c:pt>
                <c:pt idx="19">
                  <c:v>62.131028871649313</c:v>
                </c:pt>
                <c:pt idx="20">
                  <c:v>63.327731548332018</c:v>
                </c:pt>
                <c:pt idx="21">
                  <c:v>64.219179892116671</c:v>
                </c:pt>
                <c:pt idx="22">
                  <c:v>64.88523057041651</c:v>
                </c:pt>
                <c:pt idx="23">
                  <c:v>65.330593580761914</c:v>
                </c:pt>
                <c:pt idx="24">
                  <c:v>65.366298865451384</c:v>
                </c:pt>
                <c:pt idx="25">
                  <c:v>64.993175469023683</c:v>
                </c:pt>
                <c:pt idx="26">
                  <c:v>64.386095612273152</c:v>
                </c:pt>
                <c:pt idx="27">
                  <c:v>63.55353255668313</c:v>
                </c:pt>
                <c:pt idx="28">
                  <c:v>62.632699120048613</c:v>
                </c:pt>
                <c:pt idx="29">
                  <c:v>61.686707635982522</c:v>
                </c:pt>
                <c:pt idx="30">
                  <c:v>60.578721346028637</c:v>
                </c:pt>
                <c:pt idx="31">
                  <c:v>59.261779087150487</c:v>
                </c:pt>
                <c:pt idx="32">
                  <c:v>57.905072010064636</c:v>
                </c:pt>
                <c:pt idx="33">
                  <c:v>56.629282761937588</c:v>
                </c:pt>
                <c:pt idx="34">
                  <c:v>55.477960102911972</c:v>
                </c:pt>
                <c:pt idx="35">
                  <c:v>54.416343706691869</c:v>
                </c:pt>
                <c:pt idx="36">
                  <c:v>53.431672451194892</c:v>
                </c:pt>
                <c:pt idx="37">
                  <c:v>52.462095173305158</c:v>
                </c:pt>
                <c:pt idx="38">
                  <c:v>51.495427339290771</c:v>
                </c:pt>
                <c:pt idx="39">
                  <c:v>50.484793183068781</c:v>
                </c:pt>
                <c:pt idx="40">
                  <c:v>49.384913207303732</c:v>
                </c:pt>
                <c:pt idx="41">
                  <c:v>48.163238084715104</c:v>
                </c:pt>
                <c:pt idx="42">
                  <c:v>46.835145547478724</c:v>
                </c:pt>
                <c:pt idx="43">
                  <c:v>45.364633119102358</c:v>
                </c:pt>
                <c:pt idx="44">
                  <c:v>43.755541754905387</c:v>
                </c:pt>
                <c:pt idx="45">
                  <c:v>42.052128433096925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13-4572-8A72-80A6A76CF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34223"/>
        <c:axId val="341520415"/>
      </c:scatterChart>
      <c:valAx>
        <c:axId val="35023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20415"/>
        <c:crosses val="autoZero"/>
        <c:crossBetween val="midCat"/>
      </c:valAx>
      <c:valAx>
        <c:axId val="34152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3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253314</xdr:colOff>
      <xdr:row>7</xdr:row>
      <xdr:rowOff>77677</xdr:rowOff>
    </xdr:from>
    <xdr:to>
      <xdr:col>14</xdr:col>
      <xdr:colOff>373609</xdr:colOff>
      <xdr:row>24</xdr:row>
      <xdr:rowOff>65690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B69AB-23BB-3784-5955-36C484EF4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D7102-D6BD-4126-A7F7-ACBC87EAAF2A}" name="Table1" displayName="Table1" ref="A1:C1048576" totalsRowShown="0" headerRowDxfId="4" dataDxfId="3">
  <autoFilter ref="A1:C1048576" xr:uid="{1EDD7102-D6BD-4126-A7F7-ACBC87EAAF2A}"/>
  <sortState xmlns:xlrd2="http://schemas.microsoft.com/office/spreadsheetml/2017/richdata2" ref="A2:C1048576">
    <sortCondition ref="A1:A1048576"/>
  </sortState>
  <tableColumns count="3">
    <tableColumn id="1" xr3:uid="{CB1DF504-1791-4C88-80E5-1BDC08E3A55D}" name="RPM" dataDxfId="2"/>
    <tableColumn id="2" xr3:uid="{5E544996-0CF1-479A-A6A6-A058ACD227E7}" name="Power_hp" dataDxfId="1"/>
    <tableColumn id="3" xr3:uid="{408189EF-6936-49D1-AB35-DF0A5F1782DD}" name="Torque_N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3A32-BB7F-4838-9A2B-73A3F67519E1}">
  <dimension ref="A1:P99"/>
  <sheetViews>
    <sheetView tabSelected="1" zoomScale="107" workbookViewId="0">
      <selection activeCell="C17" sqref="C2:C17"/>
    </sheetView>
  </sheetViews>
  <sheetFormatPr defaultRowHeight="14.25" x14ac:dyDescent="0.45"/>
  <cols>
    <col min="1" max="1" width="13.33203125" style="5" bestFit="1" customWidth="1"/>
    <col min="2" max="2" width="13" style="5" customWidth="1"/>
    <col min="3" max="3" width="13.265625" style="5" customWidth="1"/>
  </cols>
  <sheetData>
    <row r="1" spans="1:16" x14ac:dyDescent="0.45">
      <c r="A1" s="6" t="s">
        <v>0</v>
      </c>
      <c r="B1" s="6" t="s">
        <v>1</v>
      </c>
      <c r="C1" s="6" t="s">
        <v>2</v>
      </c>
      <c r="D1" s="1"/>
      <c r="E1" s="1"/>
      <c r="F1" s="1"/>
      <c r="G1" s="1"/>
      <c r="H1" s="1"/>
      <c r="I1" s="1"/>
      <c r="J1" s="1"/>
      <c r="K1" s="1"/>
    </row>
    <row r="2" spans="1:16" x14ac:dyDescent="0.45">
      <c r="A2" s="3">
        <v>1000</v>
      </c>
      <c r="B2" s="4">
        <v>18</v>
      </c>
      <c r="C2" s="4">
        <v>30</v>
      </c>
      <c r="E2" s="2"/>
    </row>
    <row r="3" spans="1:16" x14ac:dyDescent="0.45">
      <c r="A3" s="3">
        <v>3999.94140625</v>
      </c>
      <c r="B3" s="4">
        <v>28.1366672515869</v>
      </c>
      <c r="C3" s="4">
        <f t="shared" ref="C3:C47" si="0">B3*7212/A3</f>
        <v>50.731154186752583</v>
      </c>
    </row>
    <row r="4" spans="1:16" x14ac:dyDescent="0.45">
      <c r="A4" s="3">
        <v>4250.029296875</v>
      </c>
      <c r="B4" s="4">
        <v>31.598588943481399</v>
      </c>
      <c r="C4" s="4">
        <f t="shared" si="0"/>
        <v>53.620577069422126</v>
      </c>
      <c r="P4" s="2"/>
    </row>
    <row r="5" spans="1:16" x14ac:dyDescent="0.45">
      <c r="A5" s="3">
        <v>4500.00732421875</v>
      </c>
      <c r="B5" s="4">
        <v>34.573188781738203</v>
      </c>
      <c r="C5" s="4">
        <f t="shared" si="0"/>
        <v>55.409207036609516</v>
      </c>
      <c r="P5" s="2"/>
    </row>
    <row r="6" spans="1:16" x14ac:dyDescent="0.45">
      <c r="A6" s="3">
        <v>4750.009765625</v>
      </c>
      <c r="B6" s="4">
        <v>36.823951721191399</v>
      </c>
      <c r="C6" s="4">
        <f t="shared" si="0"/>
        <v>55.910272381995505</v>
      </c>
      <c r="P6" s="2"/>
    </row>
    <row r="7" spans="1:16" x14ac:dyDescent="0.45">
      <c r="A7" s="3">
        <v>5000.0380859375</v>
      </c>
      <c r="B7" s="4">
        <v>38.331111907958899</v>
      </c>
      <c r="C7" s="4">
        <f t="shared" si="0"/>
        <v>55.288374674123446</v>
      </c>
      <c r="P7" s="2"/>
    </row>
    <row r="8" spans="1:16" x14ac:dyDescent="0.45">
      <c r="A8" s="3">
        <v>5250.02392578125</v>
      </c>
      <c r="B8" s="4">
        <v>40.197086334228501</v>
      </c>
      <c r="C8" s="4">
        <f t="shared" si="0"/>
        <v>55.219060092057781</v>
      </c>
      <c r="P8" s="2"/>
    </row>
    <row r="9" spans="1:16" x14ac:dyDescent="0.45">
      <c r="A9" s="3">
        <v>5500.02294921875</v>
      </c>
      <c r="B9" s="4">
        <v>40.843887329101499</v>
      </c>
      <c r="C9" s="4">
        <f t="shared" si="0"/>
        <v>53.557252058252161</v>
      </c>
      <c r="P9" s="2"/>
    </row>
    <row r="10" spans="1:16" x14ac:dyDescent="0.45">
      <c r="A10" s="3">
        <v>5749.96142578125</v>
      </c>
      <c r="B10" s="4">
        <v>41.299453735351499</v>
      </c>
      <c r="C10" s="4">
        <f t="shared" si="0"/>
        <v>51.80063626233558</v>
      </c>
      <c r="P10" s="2"/>
    </row>
    <row r="11" spans="1:16" x14ac:dyDescent="0.45">
      <c r="A11" s="3">
        <v>5999.95751953125</v>
      </c>
      <c r="B11" s="4">
        <v>41.661685943603501</v>
      </c>
      <c r="C11" s="4">
        <f t="shared" si="0"/>
        <v>50.077701058247222</v>
      </c>
      <c r="P11" s="2"/>
    </row>
    <row r="12" spans="1:16" x14ac:dyDescent="0.45">
      <c r="A12" s="3">
        <v>6249.97509765625</v>
      </c>
      <c r="B12" s="4">
        <v>43.27880859375</v>
      </c>
      <c r="C12" s="4">
        <f t="shared" si="0"/>
        <v>49.94048179410715</v>
      </c>
      <c r="P12" s="2"/>
    </row>
    <row r="13" spans="1:16" x14ac:dyDescent="0.45">
      <c r="A13" s="3">
        <v>6499.9921875</v>
      </c>
      <c r="B13" s="4">
        <v>47.181610107421797</v>
      </c>
      <c r="C13" s="4">
        <f t="shared" si="0"/>
        <v>52.349874012017956</v>
      </c>
      <c r="P13" s="2"/>
    </row>
    <row r="14" spans="1:16" x14ac:dyDescent="0.45">
      <c r="A14" s="3">
        <v>6749.98486328125</v>
      </c>
      <c r="B14" s="4">
        <v>51.319664001464801</v>
      </c>
      <c r="C14" s="4">
        <f t="shared" si="0"/>
        <v>54.832332853357777</v>
      </c>
      <c r="P14" s="2"/>
    </row>
    <row r="15" spans="1:16" x14ac:dyDescent="0.45">
      <c r="A15" s="3">
        <v>7000.009765625</v>
      </c>
      <c r="B15" s="4">
        <v>54.687164306640597</v>
      </c>
      <c r="C15" s="4">
        <f t="shared" si="0"/>
        <v>56.343325535957646</v>
      </c>
      <c r="P15" s="2"/>
    </row>
    <row r="16" spans="1:16" x14ac:dyDescent="0.45">
      <c r="A16" s="3">
        <v>7250.013671875</v>
      </c>
      <c r="B16" s="4">
        <v>57.767337799072202</v>
      </c>
      <c r="C16" s="4">
        <f t="shared" si="0"/>
        <v>57.464448904847771</v>
      </c>
      <c r="P16" s="2"/>
    </row>
    <row r="17" spans="1:16" x14ac:dyDescent="0.45">
      <c r="A17" s="3">
        <v>7499.970703125</v>
      </c>
      <c r="B17" s="4">
        <v>60.256565093994098</v>
      </c>
      <c r="C17" s="4">
        <f t="shared" si="0"/>
        <v>57.942939333991504</v>
      </c>
      <c r="P17" s="2"/>
    </row>
    <row r="18" spans="1:16" x14ac:dyDescent="0.45">
      <c r="A18" s="3">
        <v>7750.02783203125</v>
      </c>
      <c r="B18" s="4">
        <v>62.600994110107401</v>
      </c>
      <c r="C18" s="4">
        <f t="shared" si="0"/>
        <v>58.255064279396784</v>
      </c>
      <c r="P18" s="2"/>
    </row>
    <row r="19" spans="1:16" x14ac:dyDescent="0.45">
      <c r="A19" s="3">
        <v>8000.080078125</v>
      </c>
      <c r="B19" s="4">
        <v>65.552078247070298</v>
      </c>
      <c r="C19" s="4">
        <f t="shared" si="0"/>
        <v>59.094607016567934</v>
      </c>
      <c r="P19" s="2"/>
    </row>
    <row r="20" spans="1:16" x14ac:dyDescent="0.45">
      <c r="A20" s="3">
        <v>8249.953125</v>
      </c>
      <c r="B20" s="4">
        <v>69.343231201171804</v>
      </c>
      <c r="C20" s="4">
        <f t="shared" si="0"/>
        <v>60.618936355817297</v>
      </c>
      <c r="P20" s="2"/>
    </row>
    <row r="21" spans="1:16" x14ac:dyDescent="0.45">
      <c r="A21" s="3">
        <v>8500.0224609375</v>
      </c>
      <c r="B21" s="4">
        <v>73.227279663085895</v>
      </c>
      <c r="C21" s="4">
        <f t="shared" si="0"/>
        <v>62.131028871649313</v>
      </c>
      <c r="P21" s="2"/>
    </row>
    <row r="22" spans="1:16" x14ac:dyDescent="0.45">
      <c r="A22" s="3">
        <v>8750.0029296875</v>
      </c>
      <c r="B22" s="4">
        <v>76.832756042480398</v>
      </c>
      <c r="C22" s="4">
        <f t="shared" si="0"/>
        <v>63.327731548332018</v>
      </c>
      <c r="P22" s="2"/>
    </row>
    <row r="23" spans="1:16" x14ac:dyDescent="0.45">
      <c r="A23" s="3">
        <v>8999.9755859375</v>
      </c>
      <c r="B23" s="4">
        <v>80.140190124511705</v>
      </c>
      <c r="C23" s="4">
        <f t="shared" si="0"/>
        <v>64.219179892116671</v>
      </c>
      <c r="P23" s="2"/>
    </row>
    <row r="24" spans="1:16" x14ac:dyDescent="0.45">
      <c r="A24" s="3">
        <v>9250.0244140625</v>
      </c>
      <c r="B24" s="4">
        <v>83.221015930175696</v>
      </c>
      <c r="C24" s="4">
        <f t="shared" si="0"/>
        <v>64.88523057041651</v>
      </c>
      <c r="P24" s="2"/>
    </row>
    <row r="25" spans="1:16" x14ac:dyDescent="0.45">
      <c r="A25" s="3">
        <v>9499.9775390625</v>
      </c>
      <c r="B25" s="4">
        <v>86.056457519531193</v>
      </c>
      <c r="C25" s="4">
        <f t="shared" si="0"/>
        <v>65.330593580761914</v>
      </c>
      <c r="P25" s="2"/>
    </row>
    <row r="26" spans="1:16" x14ac:dyDescent="0.45">
      <c r="A26" s="3">
        <v>9749.9716796875</v>
      </c>
      <c r="B26" s="4">
        <v>88.369323730468693</v>
      </c>
      <c r="C26" s="4">
        <f t="shared" si="0"/>
        <v>65.366298865451384</v>
      </c>
      <c r="P26" s="2"/>
    </row>
    <row r="27" spans="1:16" x14ac:dyDescent="0.45">
      <c r="A27" s="3">
        <v>9999.994140625</v>
      </c>
      <c r="B27" s="4">
        <v>90.118049621582003</v>
      </c>
      <c r="C27" s="4">
        <f t="shared" si="0"/>
        <v>64.993175469023683</v>
      </c>
      <c r="P27" s="2"/>
    </row>
    <row r="28" spans="1:16" x14ac:dyDescent="0.45">
      <c r="A28" s="3">
        <v>10249.9931640625</v>
      </c>
      <c r="B28" s="4">
        <v>91.508186340332003</v>
      </c>
      <c r="C28" s="4">
        <f t="shared" si="0"/>
        <v>64.386095612273152</v>
      </c>
      <c r="P28" s="2"/>
    </row>
    <row r="29" spans="1:16" x14ac:dyDescent="0.45">
      <c r="A29" s="3">
        <v>10500.0087890625</v>
      </c>
      <c r="B29" s="4">
        <v>92.528099060058594</v>
      </c>
      <c r="C29" s="4">
        <f t="shared" si="0"/>
        <v>63.55353255668313</v>
      </c>
      <c r="P29" s="2"/>
    </row>
    <row r="30" spans="1:16" x14ac:dyDescent="0.45">
      <c r="A30" s="3">
        <v>10749.9951171875</v>
      </c>
      <c r="B30" s="4">
        <v>93.358459472656193</v>
      </c>
      <c r="C30" s="4">
        <f t="shared" si="0"/>
        <v>62.632699120048613</v>
      </c>
      <c r="P30" s="2"/>
    </row>
    <row r="31" spans="1:16" x14ac:dyDescent="0.45">
      <c r="A31" s="3">
        <v>10999.9990234375</v>
      </c>
      <c r="B31" s="4">
        <v>94.086761474609304</v>
      </c>
      <c r="C31" s="4">
        <f t="shared" si="0"/>
        <v>61.686707635982522</v>
      </c>
      <c r="P31" s="2"/>
    </row>
    <row r="32" spans="1:16" x14ac:dyDescent="0.45">
      <c r="A32" s="3">
        <v>11250</v>
      </c>
      <c r="B32" s="4">
        <v>94.496757507324205</v>
      </c>
      <c r="C32" s="4">
        <f t="shared" si="0"/>
        <v>60.578721346028637</v>
      </c>
      <c r="P32" s="2"/>
    </row>
    <row r="33" spans="1:16" x14ac:dyDescent="0.45">
      <c r="A33" s="3">
        <v>11500.015625</v>
      </c>
      <c r="B33" s="4">
        <v>94.496864318847599</v>
      </c>
      <c r="C33" s="4">
        <f t="shared" si="0"/>
        <v>59.261779087150487</v>
      </c>
      <c r="P33" s="2"/>
    </row>
    <row r="34" spans="1:16" x14ac:dyDescent="0.45">
      <c r="A34" s="3">
        <v>11750.015625</v>
      </c>
      <c r="B34" s="4">
        <v>94.340751647949205</v>
      </c>
      <c r="C34" s="4">
        <f t="shared" si="0"/>
        <v>57.905072010064636</v>
      </c>
      <c r="P34" s="2"/>
    </row>
    <row r="35" spans="1:16" x14ac:dyDescent="0.45">
      <c r="A35" s="3">
        <v>12000.0390625</v>
      </c>
      <c r="B35" s="4">
        <v>94.225402832031193</v>
      </c>
      <c r="C35" s="4">
        <f t="shared" si="0"/>
        <v>56.629282761937588</v>
      </c>
      <c r="P35" s="2"/>
    </row>
    <row r="36" spans="1:16" x14ac:dyDescent="0.45">
      <c r="A36" s="3">
        <v>12250.0166015625</v>
      </c>
      <c r="B36" s="4">
        <v>94.232658386230398</v>
      </c>
      <c r="C36" s="4">
        <f t="shared" si="0"/>
        <v>55.477960102911972</v>
      </c>
      <c r="P36" s="2"/>
    </row>
    <row r="37" spans="1:16" x14ac:dyDescent="0.45">
      <c r="A37" s="3">
        <v>12499.9931640625</v>
      </c>
      <c r="B37" s="4">
        <v>94.315574645996094</v>
      </c>
      <c r="C37" s="4">
        <f t="shared" si="0"/>
        <v>54.416343706691869</v>
      </c>
      <c r="P37" s="2"/>
    </row>
    <row r="38" spans="1:16" x14ac:dyDescent="0.45">
      <c r="A38" s="3">
        <v>12750.01953125</v>
      </c>
      <c r="B38" s="4">
        <v>94.461296081542898</v>
      </c>
      <c r="C38" s="4">
        <f t="shared" si="0"/>
        <v>53.431672451194892</v>
      </c>
      <c r="P38" s="2"/>
    </row>
    <row r="39" spans="1:16" x14ac:dyDescent="0.45">
      <c r="A39" s="3">
        <v>13000.0380859375</v>
      </c>
      <c r="B39" s="4">
        <v>94.565895080566406</v>
      </c>
      <c r="C39" s="4">
        <f t="shared" si="0"/>
        <v>52.462095173305158</v>
      </c>
      <c r="P39" s="2"/>
    </row>
    <row r="40" spans="1:16" x14ac:dyDescent="0.45">
      <c r="A40" s="3">
        <v>13249.9697265625</v>
      </c>
      <c r="B40" s="4">
        <v>94.607994079589801</v>
      </c>
      <c r="C40" s="4">
        <f t="shared" si="0"/>
        <v>51.495427339290771</v>
      </c>
      <c r="P40" s="2"/>
    </row>
    <row r="41" spans="1:16" x14ac:dyDescent="0.45">
      <c r="A41" s="3">
        <v>13499.9775390625</v>
      </c>
      <c r="B41" s="4">
        <v>94.501327514648395</v>
      </c>
      <c r="C41" s="4">
        <f t="shared" si="0"/>
        <v>50.484793183068781</v>
      </c>
      <c r="P41" s="2"/>
    </row>
    <row r="42" spans="1:16" x14ac:dyDescent="0.45">
      <c r="A42" s="3">
        <v>13750.0009765625</v>
      </c>
      <c r="B42" s="4">
        <v>94.154548645019503</v>
      </c>
      <c r="C42" s="4">
        <f t="shared" si="0"/>
        <v>49.384913207303732</v>
      </c>
      <c r="P42" s="2"/>
    </row>
    <row r="43" spans="1:16" x14ac:dyDescent="0.45">
      <c r="A43" s="3">
        <v>13999.95703125</v>
      </c>
      <c r="B43" s="4">
        <v>93.49462890625</v>
      </c>
      <c r="C43" s="4">
        <f t="shared" si="0"/>
        <v>48.163238084715104</v>
      </c>
      <c r="P43" s="2"/>
    </row>
    <row r="44" spans="1:16" x14ac:dyDescent="0.45">
      <c r="A44" s="3">
        <v>14249.9912109375</v>
      </c>
      <c r="B44" s="4">
        <v>92.540267944335895</v>
      </c>
      <c r="C44" s="4">
        <f t="shared" si="0"/>
        <v>46.835145547478724</v>
      </c>
      <c r="P44" s="2"/>
    </row>
    <row r="45" spans="1:16" x14ac:dyDescent="0.45">
      <c r="A45" s="3">
        <v>14499.9931640625</v>
      </c>
      <c r="B45" s="4">
        <v>91.207275390625</v>
      </c>
      <c r="C45" s="4">
        <f t="shared" si="0"/>
        <v>45.364633119102358</v>
      </c>
      <c r="P45" s="2"/>
    </row>
    <row r="46" spans="1:16" x14ac:dyDescent="0.45">
      <c r="A46" s="3">
        <v>14749.91015625</v>
      </c>
      <c r="B46" s="4">
        <v>89.488395690917898</v>
      </c>
      <c r="C46" s="4">
        <f t="shared" si="0"/>
        <v>43.755541754905387</v>
      </c>
      <c r="P46" s="2"/>
    </row>
    <row r="47" spans="1:16" x14ac:dyDescent="0.45">
      <c r="A47" s="3">
        <v>14999.9306640625</v>
      </c>
      <c r="B47" s="4">
        <v>87.462425231933594</v>
      </c>
      <c r="C47" s="4">
        <f t="shared" si="0"/>
        <v>42.052128433096925</v>
      </c>
      <c r="P47" s="2"/>
    </row>
    <row r="48" spans="1:16" x14ac:dyDescent="0.45">
      <c r="P48" s="2"/>
    </row>
    <row r="49" spans="16:16" x14ac:dyDescent="0.45">
      <c r="P49" s="2"/>
    </row>
    <row r="50" spans="16:16" x14ac:dyDescent="0.45">
      <c r="P50" s="2"/>
    </row>
    <row r="51" spans="16:16" x14ac:dyDescent="0.45">
      <c r="P51" s="2"/>
    </row>
    <row r="52" spans="16:16" x14ac:dyDescent="0.45">
      <c r="P52" s="2"/>
    </row>
    <row r="53" spans="16:16" x14ac:dyDescent="0.45">
      <c r="P53" s="2"/>
    </row>
    <row r="54" spans="16:16" x14ac:dyDescent="0.45">
      <c r="P54" s="2"/>
    </row>
    <row r="55" spans="16:16" x14ac:dyDescent="0.45">
      <c r="P55" s="2"/>
    </row>
    <row r="56" spans="16:16" x14ac:dyDescent="0.45">
      <c r="P56" s="2"/>
    </row>
    <row r="57" spans="16:16" x14ac:dyDescent="0.45">
      <c r="P57" s="2"/>
    </row>
    <row r="58" spans="16:16" x14ac:dyDescent="0.45">
      <c r="P58" s="2"/>
    </row>
    <row r="59" spans="16:16" x14ac:dyDescent="0.45">
      <c r="P59" s="2"/>
    </row>
    <row r="60" spans="16:16" x14ac:dyDescent="0.45">
      <c r="P60" s="2"/>
    </row>
    <row r="61" spans="16:16" x14ac:dyDescent="0.45">
      <c r="P61" s="2"/>
    </row>
    <row r="62" spans="16:16" x14ac:dyDescent="0.45">
      <c r="P62" s="2"/>
    </row>
    <row r="63" spans="16:16" x14ac:dyDescent="0.45">
      <c r="P63" s="2"/>
    </row>
    <row r="64" spans="16:16" x14ac:dyDescent="0.45">
      <c r="P64" s="2"/>
    </row>
    <row r="65" spans="16:16" x14ac:dyDescent="0.45">
      <c r="P65" s="2"/>
    </row>
    <row r="66" spans="16:16" x14ac:dyDescent="0.45">
      <c r="P66" s="2"/>
    </row>
    <row r="67" spans="16:16" x14ac:dyDescent="0.45">
      <c r="P67" s="2"/>
    </row>
    <row r="68" spans="16:16" x14ac:dyDescent="0.45">
      <c r="P68" s="2"/>
    </row>
    <row r="69" spans="16:16" x14ac:dyDescent="0.45">
      <c r="P69" s="2"/>
    </row>
    <row r="70" spans="16:16" x14ac:dyDescent="0.45">
      <c r="P70" s="2"/>
    </row>
    <row r="71" spans="16:16" x14ac:dyDescent="0.45">
      <c r="P71" s="2"/>
    </row>
    <row r="72" spans="16:16" x14ac:dyDescent="0.45">
      <c r="P72" s="2"/>
    </row>
    <row r="73" spans="16:16" x14ac:dyDescent="0.45">
      <c r="P73" s="2"/>
    </row>
    <row r="74" spans="16:16" x14ac:dyDescent="0.45">
      <c r="P74" s="2"/>
    </row>
    <row r="75" spans="16:16" x14ac:dyDescent="0.45">
      <c r="P75" s="2"/>
    </row>
    <row r="76" spans="16:16" x14ac:dyDescent="0.45">
      <c r="P76" s="2"/>
    </row>
    <row r="77" spans="16:16" x14ac:dyDescent="0.45">
      <c r="P77" s="2"/>
    </row>
    <row r="78" spans="16:16" x14ac:dyDescent="0.45">
      <c r="P78" s="2"/>
    </row>
    <row r="79" spans="16:16" x14ac:dyDescent="0.45">
      <c r="P79" s="2"/>
    </row>
    <row r="80" spans="16:16" x14ac:dyDescent="0.45">
      <c r="P80" s="2"/>
    </row>
    <row r="81" spans="16:16" x14ac:dyDescent="0.45">
      <c r="P81" s="2"/>
    </row>
    <row r="82" spans="16:16" x14ac:dyDescent="0.45">
      <c r="P82" s="2"/>
    </row>
    <row r="83" spans="16:16" x14ac:dyDescent="0.45">
      <c r="P83" s="2"/>
    </row>
    <row r="84" spans="16:16" x14ac:dyDescent="0.45">
      <c r="P84" s="2"/>
    </row>
    <row r="85" spans="16:16" x14ac:dyDescent="0.45">
      <c r="P85" s="2"/>
    </row>
    <row r="86" spans="16:16" x14ac:dyDescent="0.45">
      <c r="P86" s="2"/>
    </row>
    <row r="87" spans="16:16" x14ac:dyDescent="0.45">
      <c r="P87" s="2"/>
    </row>
    <row r="88" spans="16:16" x14ac:dyDescent="0.45">
      <c r="P88" s="2"/>
    </row>
    <row r="89" spans="16:16" x14ac:dyDescent="0.45">
      <c r="P89" s="2"/>
    </row>
    <row r="90" spans="16:16" x14ac:dyDescent="0.45">
      <c r="P90" s="2"/>
    </row>
    <row r="91" spans="16:16" x14ac:dyDescent="0.45">
      <c r="P91" s="2"/>
    </row>
    <row r="92" spans="16:16" x14ac:dyDescent="0.45">
      <c r="P92" s="2"/>
    </row>
    <row r="93" spans="16:16" x14ac:dyDescent="0.45">
      <c r="P93" s="2"/>
    </row>
    <row r="94" spans="16:16" x14ac:dyDescent="0.45">
      <c r="P94" s="2"/>
    </row>
    <row r="95" spans="16:16" x14ac:dyDescent="0.45">
      <c r="P95" s="2"/>
    </row>
    <row r="96" spans="16:16" x14ac:dyDescent="0.45">
      <c r="P96" s="2"/>
    </row>
    <row r="97" spans="16:16" x14ac:dyDescent="0.45">
      <c r="P97" s="2"/>
    </row>
    <row r="98" spans="16:16" x14ac:dyDescent="0.45">
      <c r="P98" s="2"/>
    </row>
    <row r="99" spans="16:16" x14ac:dyDescent="0.45">
      <c r="P99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Fleschner</dc:creator>
  <cp:lastModifiedBy>Kieran Seven</cp:lastModifiedBy>
  <dcterms:created xsi:type="dcterms:W3CDTF">2025-07-16T23:04:46Z</dcterms:created>
  <dcterms:modified xsi:type="dcterms:W3CDTF">2026-03-05T21:42:21Z</dcterms:modified>
</cp:coreProperties>
</file>