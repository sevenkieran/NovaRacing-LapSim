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villanova-my.sharepoint.com/personal/kseven_villanova_edu/Documents/Documents/5-NovaRacing/Overall Vehicle 2026/Lap Sim/GGV Lap Sim 2/CarConcepts/"/>
    </mc:Choice>
  </mc:AlternateContent>
  <xr:revisionPtr revIDLastSave="377" documentId="11_F25DC773A252ABDACC1048EFB95B40045BDE58EF" xr6:coauthVersionLast="47" xr6:coauthVersionMax="47" xr10:uidLastSave="{D970160C-B8AA-472C-BD06-68AFD19085F4}"/>
  <bookViews>
    <workbookView xWindow="-98" yWindow="-98" windowWidth="24196" windowHeight="14476" xr2:uid="{00000000-000D-0000-FFFF-FFFF00000000}"/>
  </bookViews>
  <sheets>
    <sheet name="Inputs" sheetId="1" r:id="rId1"/>
    <sheet name="Torque" sheetId="3" r:id="rId2"/>
    <sheet name="Aero" sheetId="4" r:id="rId3"/>
    <sheet name="Fuel" sheetId="5" r:id="rId4"/>
    <sheet name="Validation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C37" i="1"/>
  <c r="C36" i="1"/>
  <c r="C98" i="3" l="1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8" i="1"/>
</calcChain>
</file>

<file path=xl/sharedStrings.xml><?xml version="1.0" encoding="utf-8"?>
<sst xmlns="http://schemas.openxmlformats.org/spreadsheetml/2006/main" count="174" uniqueCount="108">
  <si>
    <t>Parameter</t>
  </si>
  <si>
    <t>Value</t>
  </si>
  <si>
    <t>Description</t>
  </si>
  <si>
    <t>Category</t>
  </si>
  <si>
    <t>Tires</t>
  </si>
  <si>
    <t>mu_lat</t>
  </si>
  <si>
    <t>mu_long</t>
  </si>
  <si>
    <t>mu_brake</t>
  </si>
  <si>
    <t>Max braking G's (no aero)</t>
  </si>
  <si>
    <t>r_tire</t>
  </si>
  <si>
    <t>Unit</t>
  </si>
  <si>
    <t>m</t>
  </si>
  <si>
    <t>Tire Radius</t>
  </si>
  <si>
    <t>tire_load_sensitivity</t>
  </si>
  <si>
    <t>1/N</t>
  </si>
  <si>
    <t>Describes the amount of grip loss at high loads</t>
  </si>
  <si>
    <t>rolling_res</t>
  </si>
  <si>
    <t>-</t>
  </si>
  <si>
    <t>Coefficient of rolling resistance</t>
  </si>
  <si>
    <t>car_mass</t>
  </si>
  <si>
    <t>kg</t>
  </si>
  <si>
    <t>driver_mass</t>
  </si>
  <si>
    <t>Chassis</t>
  </si>
  <si>
    <t>wd</t>
  </si>
  <si>
    <t>%</t>
  </si>
  <si>
    <t>Weight distribution on rear</t>
  </si>
  <si>
    <t>Suspension</t>
  </si>
  <si>
    <t>tw_f</t>
  </si>
  <si>
    <t>Front track width</t>
  </si>
  <si>
    <t>tw_r</t>
  </si>
  <si>
    <t>Rear track width</t>
  </si>
  <si>
    <t>lltd</t>
  </si>
  <si>
    <t>Lateral load transfer definition</t>
  </si>
  <si>
    <t>h_cg</t>
  </si>
  <si>
    <t>Center of Gravity Height</t>
  </si>
  <si>
    <t>wb</t>
  </si>
  <si>
    <t>Wheel Base</t>
  </si>
  <si>
    <t>Aero</t>
  </si>
  <si>
    <t>aero_mode</t>
  </si>
  <si>
    <t>data</t>
  </si>
  <si>
    <t>static</t>
  </si>
  <si>
    <t>Static mode uses specified coefficients. Data mode uses aero curves as an input</t>
  </si>
  <si>
    <t>Cd</t>
  </si>
  <si>
    <t>Cl</t>
  </si>
  <si>
    <t>frontal_area</t>
  </si>
  <si>
    <t>m^2</t>
  </si>
  <si>
    <t>rho</t>
  </si>
  <si>
    <t>kg/m^3</t>
  </si>
  <si>
    <t>Air density</t>
  </si>
  <si>
    <t>drag_scale</t>
  </si>
  <si>
    <t>Either applied to coefficient or to raw newton values</t>
  </si>
  <si>
    <t>downforce_scale</t>
  </si>
  <si>
    <t>Should be positive. Only used in Static mode</t>
  </si>
  <si>
    <t>CoP_mode</t>
  </si>
  <si>
    <t>Data mode allows the analysis of CoP migration vs speed</t>
  </si>
  <si>
    <t>CoP</t>
  </si>
  <si>
    <t>Center of Pressure on front</t>
  </si>
  <si>
    <t>CoP_offset</t>
  </si>
  <si>
    <t>Added either to static CoP or CoP data</t>
  </si>
  <si>
    <t>Powertrain</t>
  </si>
  <si>
    <t>power_scalar</t>
  </si>
  <si>
    <t>Multiplied to the power/torque curve provided</t>
  </si>
  <si>
    <t>drivetrain_efficiency</t>
  </si>
  <si>
    <t>Applied the same way as power scalar</t>
  </si>
  <si>
    <t>primary_reduction</t>
  </si>
  <si>
    <t>gear reduction between engine and transmission</t>
  </si>
  <si>
    <t>shift_time</t>
  </si>
  <si>
    <t>s</t>
  </si>
  <si>
    <t>Time lost during upshifts</t>
  </si>
  <si>
    <t>Brakes</t>
  </si>
  <si>
    <t>brake_bias</t>
  </si>
  <si>
    <t>Bias on front</t>
  </si>
  <si>
    <t>fuel_type</t>
  </si>
  <si>
    <t>100 Octane</t>
  </si>
  <si>
    <t>93 Octane</t>
  </si>
  <si>
    <t>E85</t>
  </si>
  <si>
    <t>Fuel</t>
  </si>
  <si>
    <t>Used to determine what fuel specs to use</t>
  </si>
  <si>
    <t>drivetrain_energy_efficiency</t>
  </si>
  <si>
    <t>Used only in fuel consumption calculations</t>
  </si>
  <si>
    <t>energy_usage_scalar</t>
  </si>
  <si>
    <t>scalar for correlating fuel consumption to data</t>
  </si>
  <si>
    <t>idle_power_usage</t>
  </si>
  <si>
    <t>watts</t>
  </si>
  <si>
    <t>Calculate using logged fuel flow and fuel energy density</t>
  </si>
  <si>
    <t>decel_power_usage</t>
  </si>
  <si>
    <t>Deceleration energy usage assumed to be this constant</t>
  </si>
  <si>
    <t>RPM</t>
  </si>
  <si>
    <t>Power_hp</t>
  </si>
  <si>
    <t>Torque_Nm</t>
  </si>
  <si>
    <t>Only Torque numbers are used in simulation</t>
  </si>
  <si>
    <t>Speed_mph</t>
  </si>
  <si>
    <t>Downforce_N</t>
  </si>
  <si>
    <t>Drag_N</t>
  </si>
  <si>
    <t>Balance</t>
  </si>
  <si>
    <t>balance_mode</t>
  </si>
  <si>
    <t>aero_balance</t>
  </si>
  <si>
    <t>Gear</t>
  </si>
  <si>
    <t>Ratio</t>
  </si>
  <si>
    <t>conversion_factor</t>
  </si>
  <si>
    <t>energy_density</t>
  </si>
  <si>
    <t>peak_thermal_efficiency</t>
  </si>
  <si>
    <t>Conversion Factor</t>
  </si>
  <si>
    <t>Energy Density (j/L)</t>
  </si>
  <si>
    <t>Peak Thermal Efficiency</t>
  </si>
  <si>
    <t>J/L</t>
  </si>
  <si>
    <t>For efficiency score calculation</t>
  </si>
  <si>
    <t>See Fuel tab to modify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</si>
</sst>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"/>
    <numFmt numFmtId="172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/>
    <xf numFmtId="170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172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11" fontId="0" fillId="0" borderId="0" xfId="0" applyNumberFormat="1"/>
    <xf numFmtId="9" fontId="0" fillId="0" borderId="0" xfId="0" applyNumberFormat="1"/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9"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3D0559-003D-4CCC-B57A-6FAB3FA92DAB}" name="Table1" displayName="Table1" ref="A1:E40" totalsRowShown="0">
  <autoFilter ref="A1:E40" xr:uid="{8D3D0559-003D-4CCC-B57A-6FAB3FA92DA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298103F-9E08-49BF-9304-C43A0CAA0318}" name="Category" dataDxfId="5"/>
    <tableColumn id="4" xr3:uid="{A3F4F5B8-3E35-4D66-A3DA-F56EF3A0D9A1}" name="Parameter" dataDxfId="6"/>
    <tableColumn id="2" xr3:uid="{4E023020-81B0-4822-8AB3-5115A664BDD6}" name="Value" dataDxfId="7"/>
    <tableColumn id="5" xr3:uid="{43B58982-7668-4A55-B5D6-812A48E3937D}" name="Unit" dataDxfId="8"/>
    <tableColumn id="3" xr3:uid="{F1DBFF5C-FAA5-40C7-86B2-24E213C8771F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DF53FD-52A2-4924-8D5E-1115D62B4DCF}" name="Table16" displayName="Table16" ref="A1:C1048576" totalsRowShown="0" headerRowDxfId="4" dataDxfId="3">
  <autoFilter ref="A1:C1048576" xr:uid="{1ADF53FD-52A2-4924-8D5E-1115D62B4DCF}"/>
  <sortState xmlns:xlrd2="http://schemas.microsoft.com/office/spreadsheetml/2017/richdata2" ref="A2:C99">
    <sortCondition ref="A1:A1048576"/>
  </sortState>
  <tableColumns count="3">
    <tableColumn id="1" xr3:uid="{CDCD0FEC-3134-4A3B-8C9A-309E089AD3D9}" name="RPM" dataDxfId="2"/>
    <tableColumn id="2" xr3:uid="{E8B30D35-791C-48C6-A46A-AD9007942653}" name="Power_hp" dataDxfId="1">
      <calculatedColumnFormula>Table16[[#This Row],[RPM]]*Table16[[#This Row],[Torque_Nm]]*1000/7121</calculatedColumnFormula>
    </tableColumn>
    <tableColumn id="3" xr3:uid="{AD3AED24-9501-4E56-BD67-560C317C8287}" name="Torque_Nm" dataDxfId="0">
      <calculatedColumnFormula>Table16[[#This Row],[Power_hp]]*7121/(Table16[[#This Row],[RPM]]*1000)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9B8B51-1D74-40E1-9725-B4B8916768B3}" name="Table6" displayName="Table6" ref="E1:F10" totalsRowShown="0">
  <autoFilter ref="E1:F10" xr:uid="{AA9B8B51-1D74-40E1-9725-B4B8916768B3}"/>
  <tableColumns count="2">
    <tableColumn id="1" xr3:uid="{DDD4C7B7-BA9E-4FEB-B1FF-20F9ACC16D23}" name="Gear"/>
    <tableColumn id="2" xr3:uid="{BCAD4040-1AC9-4764-8EEC-0622263961A7}" name="Ratio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4052ED-92A9-403D-93E6-CD0D6078A324}" name="Table7" displayName="Table7" ref="A1:E22" totalsRowShown="0">
  <autoFilter ref="A1:E22" xr:uid="{C64052ED-92A9-403D-93E6-CD0D6078A324}"/>
  <tableColumns count="5">
    <tableColumn id="1" xr3:uid="{CEE017A0-F787-4A31-8A2B-FEAC994C55AD}" name="Speed_mph"/>
    <tableColumn id="2" xr3:uid="{7AD04267-EA16-4500-90E5-04DDD98DE6D0}" name="Downforce_N"/>
    <tableColumn id="3" xr3:uid="{AFEAF5C9-E0A2-40B5-8912-CBDCEADA1C9E}" name="Drag_N"/>
    <tableColumn id="4" xr3:uid="{8C1CB060-307E-42E3-BDC3-39FD91A838F2}" name="CoP"/>
    <tableColumn id="5" xr3:uid="{3A0F987E-16A5-42A9-90D0-A0B8E6C9328C}" name="Balance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4DE6BD-79FA-4D54-85D9-312456D74A93}" name="Table4" displayName="Table4" ref="A1:D4" totalsRowShown="0">
  <autoFilter ref="A1:D4" xr:uid="{EA4DE6BD-79FA-4D54-85D9-312456D74A93}"/>
  <tableColumns count="4">
    <tableColumn id="1" xr3:uid="{0518D6E5-783D-486B-B9D0-4459D8752EBD}" name="Fuel"/>
    <tableColumn id="2" xr3:uid="{A96A3B83-8DC0-476C-8385-36A6BEC91E20}" name="Conversion Factor"/>
    <tableColumn id="3" xr3:uid="{1C3AB798-625C-4E62-94DE-6A804DCC86E5}" name="Energy Density (j/L)"/>
    <tableColumn id="4" xr3:uid="{DB403ABE-99C1-4AC4-96F9-D11CB3D38DD7}" name="Peak Thermal Efficiency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EF845C-97DB-4EDB-8D7C-FC5F5BEE4FAF}" name="Table2" displayName="Table2" ref="A1:A3" totalsRowShown="0">
  <autoFilter ref="A1:A3" xr:uid="{10EF845C-97DB-4EDB-8D7C-FC5F5BEE4FAF}"/>
  <tableColumns count="1">
    <tableColumn id="1" xr3:uid="{7BE13C4B-B329-418B-B470-9FB872B2ACB5}" name="aero_mode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0FA2AC-B75B-463E-AE07-953BBFE4A28E}" name="Table3" displayName="Table3" ref="C1:C3" totalsRowShown="0">
  <autoFilter ref="C1:C3" xr:uid="{0E0FA2AC-B75B-463E-AE07-953BBFE4A28E}"/>
  <tableColumns count="1">
    <tableColumn id="1" xr3:uid="{EB55DEFC-793F-4728-86AC-EB5E96A950EA}" name="CoP_mod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10" workbookViewId="0">
      <selection activeCell="E39" sqref="E39"/>
    </sheetView>
  </sheetViews>
  <sheetFormatPr defaultRowHeight="14.25" x14ac:dyDescent="0.45"/>
  <cols>
    <col min="1" max="1" width="13.06640625" style="5" customWidth="1"/>
    <col min="2" max="2" width="24.06640625" style="2" bestFit="1" customWidth="1"/>
    <col min="3" max="3" width="9.796875" style="1" bestFit="1" customWidth="1"/>
    <col min="4" max="4" width="8.59765625" style="1" bestFit="1" customWidth="1"/>
    <col min="5" max="5" width="63.73046875" bestFit="1" customWidth="1"/>
  </cols>
  <sheetData>
    <row r="1" spans="1:5" x14ac:dyDescent="0.45">
      <c r="A1" s="4" t="s">
        <v>3</v>
      </c>
      <c r="B1" s="2" t="s">
        <v>0</v>
      </c>
      <c r="C1" s="1" t="s">
        <v>1</v>
      </c>
      <c r="D1" s="1" t="s">
        <v>10</v>
      </c>
      <c r="E1" t="s">
        <v>2</v>
      </c>
    </row>
    <row r="2" spans="1:5" x14ac:dyDescent="0.45">
      <c r="A2" s="5" t="s">
        <v>4</v>
      </c>
      <c r="B2" s="2" t="s">
        <v>5</v>
      </c>
      <c r="C2" s="1">
        <v>1.48</v>
      </c>
      <c r="D2" s="1" t="s">
        <v>17</v>
      </c>
    </row>
    <row r="3" spans="1:5" x14ac:dyDescent="0.45">
      <c r="A3" s="5" t="s">
        <v>4</v>
      </c>
      <c r="B3" s="2" t="s">
        <v>6</v>
      </c>
      <c r="C3" s="1">
        <v>1.48</v>
      </c>
      <c r="D3" s="1" t="s">
        <v>17</v>
      </c>
    </row>
    <row r="4" spans="1:5" x14ac:dyDescent="0.45">
      <c r="A4" s="5" t="s">
        <v>4</v>
      </c>
      <c r="B4" s="2" t="s">
        <v>7</v>
      </c>
      <c r="C4" s="1">
        <v>1</v>
      </c>
      <c r="D4" s="1" t="s">
        <v>17</v>
      </c>
      <c r="E4" t="s">
        <v>8</v>
      </c>
    </row>
    <row r="5" spans="1:5" x14ac:dyDescent="0.45">
      <c r="A5" s="5" t="s">
        <v>4</v>
      </c>
      <c r="B5" s="2" t="s">
        <v>9</v>
      </c>
      <c r="C5" s="1">
        <v>0.20300000000000001</v>
      </c>
      <c r="D5" s="1" t="s">
        <v>11</v>
      </c>
      <c r="E5" t="s">
        <v>12</v>
      </c>
    </row>
    <row r="6" spans="1:5" x14ac:dyDescent="0.45">
      <c r="A6" s="5" t="s">
        <v>4</v>
      </c>
      <c r="B6" s="2" t="s">
        <v>13</v>
      </c>
      <c r="C6" s="1">
        <v>2.9999999999999997E-4</v>
      </c>
      <c r="D6" s="1" t="s">
        <v>14</v>
      </c>
      <c r="E6" t="s">
        <v>15</v>
      </c>
    </row>
    <row r="7" spans="1:5" x14ac:dyDescent="0.45">
      <c r="A7" s="5" t="s">
        <v>4</v>
      </c>
      <c r="B7" s="2" t="s">
        <v>16</v>
      </c>
      <c r="C7" s="1">
        <v>0.03</v>
      </c>
      <c r="D7" s="1" t="s">
        <v>17</v>
      </c>
      <c r="E7" t="s">
        <v>18</v>
      </c>
    </row>
    <row r="8" spans="1:5" x14ac:dyDescent="0.45">
      <c r="A8" s="5" t="s">
        <v>22</v>
      </c>
      <c r="B8" s="2" t="s">
        <v>19</v>
      </c>
      <c r="C8" s="1">
        <v>218</v>
      </c>
      <c r="D8" s="1" t="s">
        <v>20</v>
      </c>
    </row>
    <row r="9" spans="1:5" x14ac:dyDescent="0.45">
      <c r="A9" s="5" t="s">
        <v>22</v>
      </c>
      <c r="B9" s="2" t="s">
        <v>21</v>
      </c>
      <c r="C9" s="1">
        <v>75</v>
      </c>
      <c r="D9" s="1" t="s">
        <v>20</v>
      </c>
    </row>
    <row r="10" spans="1:5" x14ac:dyDescent="0.45">
      <c r="A10" s="5" t="s">
        <v>22</v>
      </c>
      <c r="B10" s="2" t="s">
        <v>33</v>
      </c>
      <c r="C10" s="1">
        <v>0.29210000000000003</v>
      </c>
      <c r="D10" s="1" t="s">
        <v>11</v>
      </c>
      <c r="E10" t="s">
        <v>34</v>
      </c>
    </row>
    <row r="11" spans="1:5" x14ac:dyDescent="0.45">
      <c r="A11" s="5" t="s">
        <v>22</v>
      </c>
      <c r="B11" s="2" t="s">
        <v>23</v>
      </c>
      <c r="C11" s="3">
        <v>0.51</v>
      </c>
      <c r="D11" s="1" t="s">
        <v>24</v>
      </c>
      <c r="E11" t="s">
        <v>25</v>
      </c>
    </row>
    <row r="12" spans="1:5" x14ac:dyDescent="0.45">
      <c r="A12" s="5" t="s">
        <v>26</v>
      </c>
      <c r="B12" s="2" t="s">
        <v>27</v>
      </c>
      <c r="C12" s="1">
        <v>1.2190000000000001</v>
      </c>
      <c r="D12" s="1" t="s">
        <v>11</v>
      </c>
      <c r="E12" t="s">
        <v>28</v>
      </c>
    </row>
    <row r="13" spans="1:5" x14ac:dyDescent="0.45">
      <c r="A13" s="5" t="s">
        <v>26</v>
      </c>
      <c r="B13" s="2" t="s">
        <v>29</v>
      </c>
      <c r="C13" s="1">
        <v>1.2190000000000001</v>
      </c>
      <c r="D13" s="1" t="s">
        <v>11</v>
      </c>
      <c r="E13" t="s">
        <v>30</v>
      </c>
    </row>
    <row r="14" spans="1:5" x14ac:dyDescent="0.45">
      <c r="A14" s="5" t="s">
        <v>26</v>
      </c>
      <c r="B14" s="2" t="s">
        <v>31</v>
      </c>
      <c r="C14" s="3">
        <v>0.53</v>
      </c>
      <c r="D14" s="1" t="s">
        <v>24</v>
      </c>
      <c r="E14" t="s">
        <v>32</v>
      </c>
    </row>
    <row r="15" spans="1:5" x14ac:dyDescent="0.45">
      <c r="A15" s="5" t="s">
        <v>26</v>
      </c>
      <c r="B15" s="2" t="s">
        <v>35</v>
      </c>
      <c r="C15" s="1">
        <v>1.5249999999999999</v>
      </c>
      <c r="D15" s="1" t="s">
        <v>11</v>
      </c>
      <c r="E15" t="s">
        <v>36</v>
      </c>
    </row>
    <row r="16" spans="1:5" x14ac:dyDescent="0.45">
      <c r="A16" s="5" t="s">
        <v>37</v>
      </c>
      <c r="B16" s="2" t="s">
        <v>38</v>
      </c>
      <c r="C16" s="1" t="s">
        <v>39</v>
      </c>
      <c r="D16" s="1" t="s">
        <v>17</v>
      </c>
      <c r="E16" t="s">
        <v>41</v>
      </c>
    </row>
    <row r="17" spans="1:5" x14ac:dyDescent="0.45">
      <c r="A17" s="5" t="s">
        <v>37</v>
      </c>
      <c r="B17" s="2" t="s">
        <v>42</v>
      </c>
      <c r="C17" s="1">
        <v>1.1000000000000001</v>
      </c>
      <c r="D17" s="1" t="s">
        <v>17</v>
      </c>
      <c r="E17" t="s">
        <v>52</v>
      </c>
    </row>
    <row r="18" spans="1:5" x14ac:dyDescent="0.45">
      <c r="A18" s="5" t="s">
        <v>37</v>
      </c>
      <c r="B18" s="2" t="s">
        <v>43</v>
      </c>
      <c r="C18" s="1">
        <v>2</v>
      </c>
      <c r="D18" s="1" t="s">
        <v>17</v>
      </c>
      <c r="E18" t="s">
        <v>52</v>
      </c>
    </row>
    <row r="19" spans="1:5" x14ac:dyDescent="0.45">
      <c r="A19" s="5" t="s">
        <v>37</v>
      </c>
      <c r="B19" s="2" t="s">
        <v>44</v>
      </c>
      <c r="C19" s="1">
        <v>1.05</v>
      </c>
      <c r="D19" s="1" t="s">
        <v>45</v>
      </c>
    </row>
    <row r="20" spans="1:5" x14ac:dyDescent="0.45">
      <c r="A20" s="5" t="s">
        <v>37</v>
      </c>
      <c r="B20" s="2" t="s">
        <v>46</v>
      </c>
      <c r="C20" s="1">
        <v>1.1619999999999999</v>
      </c>
      <c r="D20" s="1" t="s">
        <v>47</v>
      </c>
      <c r="E20" t="s">
        <v>48</v>
      </c>
    </row>
    <row r="21" spans="1:5" x14ac:dyDescent="0.45">
      <c r="A21" s="5" t="s">
        <v>37</v>
      </c>
      <c r="B21" s="2" t="s">
        <v>49</v>
      </c>
      <c r="C21" s="3">
        <v>1</v>
      </c>
      <c r="D21" s="1" t="s">
        <v>24</v>
      </c>
      <c r="E21" t="s">
        <v>50</v>
      </c>
    </row>
    <row r="22" spans="1:5" x14ac:dyDescent="0.45">
      <c r="A22" s="5" t="s">
        <v>37</v>
      </c>
      <c r="B22" s="2" t="s">
        <v>51</v>
      </c>
      <c r="C22" s="1">
        <v>100</v>
      </c>
      <c r="D22" s="1" t="s">
        <v>24</v>
      </c>
      <c r="E22" t="s">
        <v>50</v>
      </c>
    </row>
    <row r="23" spans="1:5" x14ac:dyDescent="0.45">
      <c r="A23" s="5" t="s">
        <v>37</v>
      </c>
      <c r="B23" s="2" t="s">
        <v>95</v>
      </c>
      <c r="C23" s="1" t="s">
        <v>40</v>
      </c>
      <c r="D23" s="1" t="s">
        <v>17</v>
      </c>
      <c r="E23" t="s">
        <v>54</v>
      </c>
    </row>
    <row r="24" spans="1:5" x14ac:dyDescent="0.45">
      <c r="A24" s="5" t="s">
        <v>37</v>
      </c>
      <c r="B24" s="2" t="s">
        <v>96</v>
      </c>
      <c r="C24" s="3">
        <v>0.43</v>
      </c>
      <c r="D24" s="1" t="s">
        <v>24</v>
      </c>
      <c r="E24" t="s">
        <v>56</v>
      </c>
    </row>
    <row r="25" spans="1:5" x14ac:dyDescent="0.45">
      <c r="A25" s="5" t="s">
        <v>37</v>
      </c>
      <c r="B25" s="2" t="s">
        <v>57</v>
      </c>
      <c r="C25" s="1">
        <v>0</v>
      </c>
      <c r="D25" s="1" t="s">
        <v>24</v>
      </c>
      <c r="E25" t="s">
        <v>58</v>
      </c>
    </row>
    <row r="26" spans="1:5" x14ac:dyDescent="0.45">
      <c r="A26" s="5" t="s">
        <v>59</v>
      </c>
      <c r="B26" s="2" t="s">
        <v>60</v>
      </c>
      <c r="C26" s="3">
        <v>1</v>
      </c>
      <c r="D26" s="1" t="s">
        <v>24</v>
      </c>
      <c r="E26" t="s">
        <v>61</v>
      </c>
    </row>
    <row r="27" spans="1:5" x14ac:dyDescent="0.45">
      <c r="A27" s="5" t="s">
        <v>59</v>
      </c>
      <c r="B27" s="2" t="s">
        <v>62</v>
      </c>
      <c r="C27" s="3">
        <v>1</v>
      </c>
      <c r="D27" s="1" t="s">
        <v>24</v>
      </c>
      <c r="E27" t="s">
        <v>63</v>
      </c>
    </row>
    <row r="28" spans="1:5" x14ac:dyDescent="0.45">
      <c r="A28" s="5" t="s">
        <v>59</v>
      </c>
      <c r="B28" s="2" t="s">
        <v>64</v>
      </c>
      <c r="C28" s="6">
        <f>85/41</f>
        <v>2.0731707317073171</v>
      </c>
      <c r="D28" s="1" t="s">
        <v>17</v>
      </c>
      <c r="E28" t="s">
        <v>65</v>
      </c>
    </row>
    <row r="29" spans="1:5" x14ac:dyDescent="0.45">
      <c r="A29" s="5" t="s">
        <v>59</v>
      </c>
      <c r="B29" s="2" t="s">
        <v>66</v>
      </c>
      <c r="C29" s="1">
        <v>0.2</v>
      </c>
      <c r="D29" s="1" t="s">
        <v>67</v>
      </c>
      <c r="E29" t="s">
        <v>68</v>
      </c>
    </row>
    <row r="30" spans="1:5" x14ac:dyDescent="0.45">
      <c r="A30" s="5" t="s">
        <v>69</v>
      </c>
      <c r="B30" s="2" t="s">
        <v>70</v>
      </c>
      <c r="C30" s="3">
        <v>0.6</v>
      </c>
      <c r="D30" s="1" t="s">
        <v>24</v>
      </c>
      <c r="E30" t="s">
        <v>71</v>
      </c>
    </row>
    <row r="31" spans="1:5" x14ac:dyDescent="0.45">
      <c r="A31" s="5" t="s">
        <v>76</v>
      </c>
      <c r="B31" s="2" t="s">
        <v>78</v>
      </c>
      <c r="C31" s="1">
        <v>0.88</v>
      </c>
      <c r="D31" s="1" t="s">
        <v>17</v>
      </c>
      <c r="E31" t="s">
        <v>79</v>
      </c>
    </row>
    <row r="32" spans="1:5" x14ac:dyDescent="0.45">
      <c r="A32" s="5" t="s">
        <v>76</v>
      </c>
      <c r="B32" s="2" t="s">
        <v>80</v>
      </c>
      <c r="C32" s="3">
        <v>0.9</v>
      </c>
      <c r="D32" s="1" t="s">
        <v>24</v>
      </c>
      <c r="E32" t="s">
        <v>81</v>
      </c>
    </row>
    <row r="33" spans="1:5" x14ac:dyDescent="0.45">
      <c r="A33" s="5" t="s">
        <v>76</v>
      </c>
      <c r="B33" s="2" t="s">
        <v>82</v>
      </c>
      <c r="C33" s="1">
        <v>13700</v>
      </c>
      <c r="D33" s="1" t="s">
        <v>83</v>
      </c>
      <c r="E33" t="s">
        <v>84</v>
      </c>
    </row>
    <row r="34" spans="1:5" x14ac:dyDescent="0.45">
      <c r="A34" s="5" t="s">
        <v>76</v>
      </c>
      <c r="B34" s="2" t="s">
        <v>85</v>
      </c>
      <c r="C34" s="1">
        <v>30000</v>
      </c>
      <c r="D34" s="1" t="s">
        <v>83</v>
      </c>
      <c r="E34" t="s">
        <v>86</v>
      </c>
    </row>
    <row r="35" spans="1:5" x14ac:dyDescent="0.45">
      <c r="A35" s="5" t="s">
        <v>76</v>
      </c>
      <c r="B35" s="2" t="s">
        <v>72</v>
      </c>
      <c r="C35" s="1" t="s">
        <v>73</v>
      </c>
      <c r="D35" s="1" t="s">
        <v>17</v>
      </c>
      <c r="E35" t="s">
        <v>77</v>
      </c>
    </row>
    <row r="36" spans="1:5" x14ac:dyDescent="0.45">
      <c r="A36" s="5" t="s">
        <v>76</v>
      </c>
      <c r="B36" s="2" t="s">
        <v>99</v>
      </c>
      <c r="C36" s="1">
        <f>VLOOKUP($C$35, Table4[Fuel]:Table4[Conversion Factor], 2, FALSE)</f>
        <v>2.31</v>
      </c>
      <c r="E36" t="s">
        <v>106</v>
      </c>
    </row>
    <row r="37" spans="1:5" x14ac:dyDescent="0.45">
      <c r="A37" s="5" t="s">
        <v>76</v>
      </c>
      <c r="B37" s="2" t="s">
        <v>100</v>
      </c>
      <c r="C37" s="1">
        <f>VLOOKUP($C$35, Table4[Fuel]:Table4[Energy Density (j/L)], 3, FALSE)</f>
        <v>30320000</v>
      </c>
      <c r="D37" s="1" t="s">
        <v>105</v>
      </c>
      <c r="E37" t="s">
        <v>107</v>
      </c>
    </row>
    <row r="38" spans="1:5" x14ac:dyDescent="0.45">
      <c r="A38" s="5" t="s">
        <v>76</v>
      </c>
      <c r="B38" s="2" t="s">
        <v>101</v>
      </c>
      <c r="C38" s="14">
        <f>VLOOKUP($C$35, Table4[Fuel]:Table4[Peak Thermal Efficiency], 4, FALSE)</f>
        <v>0.31</v>
      </c>
      <c r="D38" s="1" t="s">
        <v>24</v>
      </c>
      <c r="E38" t="s">
        <v>107</v>
      </c>
    </row>
  </sheetData>
  <pageMargins left="0.7" right="0.7" top="0.75" bottom="0.75" header="0.3" footer="0.3"/>
  <ignoredErrors>
    <ignoredError sqref="C37" formula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F700AB45-CD43-4F32-B16C-0F813878C1BD}">
          <x14:formula1>
            <xm:f>Validation!$A$2:$A$3</xm:f>
          </x14:formula1>
          <xm:sqref>C16</xm:sqref>
        </x14:dataValidation>
        <x14:dataValidation type="list" showInputMessage="1" showErrorMessage="1" xr:uid="{16B9DF69-F30B-4397-B98A-4D72BEAC0FA9}">
          <x14:formula1>
            <xm:f>Validation!$C$2:$C$3</xm:f>
          </x14:formula1>
          <xm:sqref>C23</xm:sqref>
        </x14:dataValidation>
        <x14:dataValidation type="list" showInputMessage="1" showErrorMessage="1" xr:uid="{5D61F937-308A-4351-8642-9BA86ECA6619}">
          <x14:formula1>
            <xm:f>Fuel!$A$2:$A$4</xm:f>
          </x14:formula1>
          <xm:sqref>C35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82F9-0908-4EE5-9CBE-BA339B1E608E}">
  <dimension ref="A1:J98"/>
  <sheetViews>
    <sheetView workbookViewId="0">
      <selection activeCell="I10" sqref="I10"/>
    </sheetView>
  </sheetViews>
  <sheetFormatPr defaultRowHeight="14.25" x14ac:dyDescent="0.45"/>
  <cols>
    <col min="1" max="1" width="13.33203125" style="10" bestFit="1" customWidth="1"/>
    <col min="2" max="2" width="13" style="9" customWidth="1"/>
    <col min="3" max="3" width="13.265625" style="9" customWidth="1"/>
  </cols>
  <sheetData>
    <row r="1" spans="1:10" x14ac:dyDescent="0.45">
      <c r="A1" s="7" t="s">
        <v>87</v>
      </c>
      <c r="B1" s="7" t="s">
        <v>88</v>
      </c>
      <c r="C1" s="7" t="s">
        <v>89</v>
      </c>
      <c r="E1" t="s">
        <v>97</v>
      </c>
      <c r="F1" t="s">
        <v>98</v>
      </c>
    </row>
    <row r="2" spans="1:10" x14ac:dyDescent="0.45">
      <c r="A2" s="8">
        <v>5.4</v>
      </c>
      <c r="B2" s="9">
        <v>19.046405518887799</v>
      </c>
      <c r="C2" s="9">
        <v>43.121481058739697</v>
      </c>
      <c r="E2">
        <v>1</v>
      </c>
    </row>
    <row r="3" spans="1:10" x14ac:dyDescent="0.45">
      <c r="A3" s="8">
        <v>5.5</v>
      </c>
      <c r="B3" s="9">
        <v>19.87558626597388</v>
      </c>
      <c r="C3" s="9">
        <v>45.577490509008804</v>
      </c>
      <c r="E3">
        <v>2</v>
      </c>
      <c r="H3" s="11" t="s">
        <v>90</v>
      </c>
      <c r="I3" s="11"/>
      <c r="J3" s="11"/>
    </row>
    <row r="4" spans="1:10" x14ac:dyDescent="0.45">
      <c r="A4" s="8">
        <v>5.6</v>
      </c>
      <c r="B4" s="9">
        <v>20.93000715629827</v>
      </c>
      <c r="C4" s="9">
        <v>47.097825981118085</v>
      </c>
      <c r="E4">
        <v>3</v>
      </c>
      <c r="H4" s="11"/>
      <c r="I4" s="11"/>
      <c r="J4" s="11"/>
    </row>
    <row r="5" spans="1:10" x14ac:dyDescent="0.45">
      <c r="A5" s="8">
        <v>5.7</v>
      </c>
      <c r="B5" s="9">
        <v>22.150264196039881</v>
      </c>
      <c r="C5" s="9">
        <v>47.523731524696174</v>
      </c>
      <c r="E5">
        <v>4</v>
      </c>
    </row>
    <row r="6" spans="1:10" x14ac:dyDescent="0.45">
      <c r="A6" s="8">
        <v>5.8</v>
      </c>
      <c r="B6" s="9">
        <v>23.328443406824878</v>
      </c>
      <c r="C6" s="9">
        <v>46.995118473004929</v>
      </c>
      <c r="E6">
        <v>5</v>
      </c>
    </row>
    <row r="7" spans="1:10" x14ac:dyDescent="0.45">
      <c r="A7" s="8">
        <v>5.9</v>
      </c>
      <c r="B7" s="9">
        <v>24.241779811824188</v>
      </c>
      <c r="C7" s="9">
        <v>46.936201078249113</v>
      </c>
      <c r="E7">
        <v>6</v>
      </c>
    </row>
    <row r="8" spans="1:10" x14ac:dyDescent="0.45">
      <c r="A8" s="8">
        <v>6</v>
      </c>
      <c r="B8" s="9">
        <v>24.875422412582502</v>
      </c>
      <c r="C8" s="9">
        <v>45.523664249514333</v>
      </c>
      <c r="E8">
        <v>7</v>
      </c>
    </row>
    <row r="9" spans="1:10" x14ac:dyDescent="0.45">
      <c r="A9" s="8">
        <v>6.1</v>
      </c>
      <c r="B9" s="9">
        <v>24.912549908720685</v>
      </c>
      <c r="C9" s="9">
        <v>44.030540822985245</v>
      </c>
      <c r="E9">
        <v>8</v>
      </c>
    </row>
    <row r="10" spans="1:10" x14ac:dyDescent="0.45">
      <c r="A10" s="8">
        <v>6.2</v>
      </c>
      <c r="B10" s="9">
        <v>24.707111096756083</v>
      </c>
      <c r="C10" s="9">
        <v>42.566045899510137</v>
      </c>
      <c r="E10">
        <v>9</v>
      </c>
    </row>
    <row r="11" spans="1:10" x14ac:dyDescent="0.45">
      <c r="A11" s="8">
        <v>6.3</v>
      </c>
      <c r="B11" s="9">
        <v>24.637806437298135</v>
      </c>
      <c r="C11" s="9">
        <v>42.449409524991076</v>
      </c>
    </row>
    <row r="12" spans="1:10" x14ac:dyDescent="0.45">
      <c r="A12" s="8">
        <v>6.4</v>
      </c>
      <c r="B12" s="9">
        <v>24.791266754669298</v>
      </c>
      <c r="C12" s="9">
        <v>44.497392910215261</v>
      </c>
    </row>
    <row r="13" spans="1:10" x14ac:dyDescent="0.45">
      <c r="A13" s="8">
        <v>6.5</v>
      </c>
      <c r="B13" s="9">
        <v>25.178630297710999</v>
      </c>
      <c r="C13" s="9">
        <v>46.607482925354105</v>
      </c>
    </row>
    <row r="14" spans="1:10" x14ac:dyDescent="0.45">
      <c r="A14" s="8">
        <v>6.6</v>
      </c>
      <c r="B14" s="9">
        <v>25.811035315264714</v>
      </c>
      <c r="C14" s="9">
        <v>47.891826705564</v>
      </c>
    </row>
    <row r="15" spans="1:10" x14ac:dyDescent="0.45">
      <c r="A15" s="8">
        <v>6.7</v>
      </c>
      <c r="B15" s="9">
        <v>26.367947757337458</v>
      </c>
      <c r="C15" s="9">
        <v>48.844781569120606</v>
      </c>
    </row>
    <row r="16" spans="1:10" x14ac:dyDescent="0.45">
      <c r="A16" s="8">
        <v>6.8</v>
      </c>
      <c r="B16" s="9">
        <v>26.8456548743154</v>
      </c>
      <c r="C16" s="9">
        <v>49.251498433892777</v>
      </c>
    </row>
    <row r="17" spans="1:3" x14ac:dyDescent="0.45">
      <c r="A17" s="8">
        <v>6.9</v>
      </c>
      <c r="B17" s="9">
        <v>27.411230398820393</v>
      </c>
      <c r="C17" s="9">
        <v>49.6</v>
      </c>
    </row>
    <row r="18" spans="1:3" x14ac:dyDescent="0.45">
      <c r="A18" s="8">
        <v>7</v>
      </c>
      <c r="B18" s="9">
        <v>27.9817562561438</v>
      </c>
      <c r="C18" s="9">
        <v>50.5</v>
      </c>
    </row>
    <row r="19" spans="1:3" x14ac:dyDescent="0.45">
      <c r="A19" s="8">
        <v>7.1</v>
      </c>
      <c r="B19" s="9">
        <v>28.557232446285632</v>
      </c>
      <c r="C19" s="9">
        <v>50.5</v>
      </c>
    </row>
    <row r="20" spans="1:3" x14ac:dyDescent="0.45">
      <c r="A20" s="8">
        <v>7.2</v>
      </c>
      <c r="B20" s="9">
        <v>29.315870950709169</v>
      </c>
      <c r="C20" s="9">
        <v>50.5</v>
      </c>
    </row>
    <row r="21" spans="1:3" x14ac:dyDescent="0.45">
      <c r="A21" s="8">
        <v>7.3</v>
      </c>
      <c r="B21" s="9">
        <v>30.445784416514538</v>
      </c>
      <c r="C21" s="9">
        <v>50.5</v>
      </c>
    </row>
    <row r="22" spans="1:3" x14ac:dyDescent="0.45">
      <c r="A22" s="8">
        <v>7.4</v>
      </c>
      <c r="B22" s="9">
        <v>32.419729627861258</v>
      </c>
      <c r="C22" s="9">
        <v>51</v>
      </c>
    </row>
    <row r="23" spans="1:3" x14ac:dyDescent="0.45">
      <c r="A23" s="8">
        <v>7.5</v>
      </c>
      <c r="B23" s="9">
        <v>34.064477706782753</v>
      </c>
      <c r="C23" s="9">
        <v>52</v>
      </c>
    </row>
    <row r="24" spans="1:3" x14ac:dyDescent="0.45">
      <c r="A24" s="8">
        <v>7.6</v>
      </c>
      <c r="B24" s="9">
        <v>55.652999999999999</v>
      </c>
      <c r="C24" s="9">
        <f>Table16[[#This Row],[Power_hp]]*7121/(Table16[[#This Row],[RPM]]*1000)</f>
        <v>52.14539644736842</v>
      </c>
    </row>
    <row r="25" spans="1:3" x14ac:dyDescent="0.45">
      <c r="A25" s="8">
        <v>7.6999999999999993</v>
      </c>
      <c r="B25" s="9">
        <v>57.679000000000002</v>
      </c>
      <c r="C25" s="9">
        <f>Table16[[#This Row],[Power_hp]]*7121/(Table16[[#This Row],[RPM]]*1000)</f>
        <v>53.341838831168843</v>
      </c>
    </row>
    <row r="26" spans="1:3" x14ac:dyDescent="0.45">
      <c r="A26" s="8">
        <v>7.8000000000000007</v>
      </c>
      <c r="B26" s="9">
        <v>59.743000000000002</v>
      </c>
      <c r="C26" s="9">
        <f>Table16[[#This Row],[Power_hp]]*7121/(Table16[[#This Row],[RPM]]*1000)</f>
        <v>54.542295256410249</v>
      </c>
    </row>
    <row r="27" spans="1:3" x14ac:dyDescent="0.45">
      <c r="A27" s="8">
        <v>7.9</v>
      </c>
      <c r="B27" s="9">
        <v>60.545000000000002</v>
      </c>
      <c r="C27" s="9">
        <f>Table16[[#This Row],[Power_hp]]*7121/(Table16[[#This Row],[RPM]]*1000)</f>
        <v>54.574803164556961</v>
      </c>
    </row>
    <row r="28" spans="1:3" x14ac:dyDescent="0.45">
      <c r="A28" s="8">
        <v>8</v>
      </c>
      <c r="B28" s="9">
        <v>61.234999999999999</v>
      </c>
      <c r="C28" s="9">
        <f>Table16[[#This Row],[Power_hp]]*7121/(Table16[[#This Row],[RPM]]*1000)</f>
        <v>54.506804375000002</v>
      </c>
    </row>
    <row r="29" spans="1:3" x14ac:dyDescent="0.45">
      <c r="A29" s="8">
        <v>8.1</v>
      </c>
      <c r="B29" s="9">
        <v>61.941000000000003</v>
      </c>
      <c r="C29" s="9">
        <f>Table16[[#This Row],[Power_hp]]*7121/(Table16[[#This Row],[RPM]]*1000)</f>
        <v>54.454550740740743</v>
      </c>
    </row>
    <row r="30" spans="1:3" x14ac:dyDescent="0.45">
      <c r="A30" s="8">
        <v>8.1999999999999993</v>
      </c>
      <c r="B30" s="9">
        <v>62.649000000000001</v>
      </c>
      <c r="C30" s="9">
        <f>Table16[[#This Row],[Power_hp]]*7121/(Table16[[#This Row],[RPM]]*1000)</f>
        <v>54.405308414634142</v>
      </c>
    </row>
    <row r="31" spans="1:3" x14ac:dyDescent="0.45">
      <c r="A31" s="8">
        <v>8.3000000000000007</v>
      </c>
      <c r="B31" s="9">
        <v>63.338999999999999</v>
      </c>
      <c r="C31" s="9">
        <f>Table16[[#This Row],[Power_hp]]*7121/(Table16[[#This Row],[RPM]]*1000)</f>
        <v>54.341809518072289</v>
      </c>
    </row>
    <row r="32" spans="1:3" x14ac:dyDescent="0.45">
      <c r="A32" s="8">
        <v>8.4</v>
      </c>
      <c r="B32" s="9">
        <v>64.06</v>
      </c>
      <c r="C32" s="9">
        <f>Table16[[#This Row],[Power_hp]]*7121/(Table16[[#This Row],[RPM]]*1000)</f>
        <v>54.306102380952382</v>
      </c>
    </row>
    <row r="33" spans="1:3" x14ac:dyDescent="0.45">
      <c r="A33" s="8">
        <v>8.5</v>
      </c>
      <c r="B33" s="9">
        <v>64.742999999999995</v>
      </c>
      <c r="C33" s="9">
        <f>Table16[[#This Row],[Power_hp]]*7121/(Table16[[#This Row],[RPM]]*1000)</f>
        <v>54.239400352941175</v>
      </c>
    </row>
    <row r="34" spans="1:3" x14ac:dyDescent="0.45">
      <c r="A34" s="8">
        <v>8.6</v>
      </c>
      <c r="B34" s="9">
        <v>65.361999999999995</v>
      </c>
      <c r="C34" s="9">
        <f>Table16[[#This Row],[Power_hp]]*7121/(Table16[[#This Row],[RPM]]*1000)</f>
        <v>54.121256046511625</v>
      </c>
    </row>
    <row r="35" spans="1:3" x14ac:dyDescent="0.45">
      <c r="A35" s="8">
        <v>8.6999999999999993</v>
      </c>
      <c r="B35" s="9">
        <v>65.861999999999995</v>
      </c>
      <c r="C35" s="9">
        <f>Table16[[#This Row],[Power_hp]]*7121/(Table16[[#This Row],[RPM]]*1000)</f>
        <v>53.908425517241376</v>
      </c>
    </row>
    <row r="36" spans="1:3" x14ac:dyDescent="0.45">
      <c r="A36" s="8">
        <v>8.8000000000000007</v>
      </c>
      <c r="B36" s="9">
        <v>66.387</v>
      </c>
      <c r="C36" s="9">
        <f>Table16[[#This Row],[Power_hp]]*7121/(Table16[[#This Row],[RPM]]*1000)</f>
        <v>53.720662159090907</v>
      </c>
    </row>
    <row r="37" spans="1:3" x14ac:dyDescent="0.45">
      <c r="A37" s="8">
        <v>8.9</v>
      </c>
      <c r="B37" s="9">
        <v>66.879000000000005</v>
      </c>
      <c r="C37" s="9">
        <f>Table16[[#This Row],[Power_hp]]*7121/(Table16[[#This Row],[RPM]]*1000)</f>
        <v>53.510714494382029</v>
      </c>
    </row>
    <row r="38" spans="1:3" x14ac:dyDescent="0.45">
      <c r="A38" s="8">
        <v>9</v>
      </c>
      <c r="B38" s="9">
        <v>67.311000000000007</v>
      </c>
      <c r="C38" s="9">
        <f>Table16[[#This Row],[Power_hp]]*7121/(Table16[[#This Row],[RPM]]*1000)</f>
        <v>53.257959000000007</v>
      </c>
    </row>
    <row r="39" spans="1:3" x14ac:dyDescent="0.45">
      <c r="A39" s="8">
        <v>9.1</v>
      </c>
      <c r="B39" s="9">
        <v>67.66</v>
      </c>
      <c r="C39" s="9">
        <f>Table16[[#This Row],[Power_hp]]*7121/(Table16[[#This Row],[RPM]]*1000)</f>
        <v>52.94580879120879</v>
      </c>
    </row>
    <row r="40" spans="1:3" x14ac:dyDescent="0.45">
      <c r="A40" s="8">
        <v>9.1999999999999993</v>
      </c>
      <c r="B40" s="9">
        <v>67.91</v>
      </c>
      <c r="C40" s="9">
        <f>Table16[[#This Row],[Power_hp]]*7121/(Table16[[#This Row],[RPM]]*1000)</f>
        <v>52.563816304347824</v>
      </c>
    </row>
    <row r="41" spans="1:3" x14ac:dyDescent="0.45">
      <c r="A41" s="8">
        <v>9.3000000000000007</v>
      </c>
      <c r="B41" s="9">
        <v>68.070999999999998</v>
      </c>
      <c r="C41" s="9">
        <f>Table16[[#This Row],[Power_hp]]*7121/(Table16[[#This Row],[RPM]]*1000)</f>
        <v>52.12189150537634</v>
      </c>
    </row>
    <row r="42" spans="1:3" x14ac:dyDescent="0.45">
      <c r="A42" s="8">
        <v>9.4</v>
      </c>
      <c r="B42" s="9">
        <v>68.203999999999994</v>
      </c>
      <c r="C42" s="9">
        <f>Table16[[#This Row],[Power_hp]]*7121/(Table16[[#This Row],[RPM]]*1000)</f>
        <v>51.668157872340423</v>
      </c>
    </row>
    <row r="43" spans="1:3" x14ac:dyDescent="0.45">
      <c r="A43" s="8">
        <v>9.5</v>
      </c>
      <c r="B43" s="9">
        <v>68.215000000000003</v>
      </c>
      <c r="C43" s="9">
        <f>Table16[[#This Row],[Power_hp]]*7121/(Table16[[#This Row],[RPM]]*1000)</f>
        <v>51.132527894736846</v>
      </c>
    </row>
    <row r="44" spans="1:3" x14ac:dyDescent="0.45">
      <c r="A44" s="8">
        <v>9.6</v>
      </c>
      <c r="B44" s="9">
        <v>68.179000000000002</v>
      </c>
      <c r="C44" s="9">
        <f>Table16[[#This Row],[Power_hp]]*7121/(Table16[[#This Row],[RPM]]*1000)</f>
        <v>50.573193645833335</v>
      </c>
    </row>
    <row r="45" spans="1:3" x14ac:dyDescent="0.45">
      <c r="A45" s="8">
        <v>9.6999999999999993</v>
      </c>
      <c r="B45" s="9">
        <v>68.16</v>
      </c>
      <c r="C45" s="9">
        <f>Table16[[#This Row],[Power_hp]]*7121/(Table16[[#This Row],[RPM]]*1000)</f>
        <v>50.037872164948453</v>
      </c>
    </row>
    <row r="46" spans="1:3" x14ac:dyDescent="0.45">
      <c r="A46" s="8">
        <v>9.8000000000000007</v>
      </c>
      <c r="B46" s="9">
        <v>68.135999999999996</v>
      </c>
      <c r="C46" s="9">
        <f>Table16[[#This Row],[Power_hp]]*7121/(Table16[[#This Row],[RPM]]*1000)</f>
        <v>49.509842448979583</v>
      </c>
    </row>
    <row r="47" spans="1:3" x14ac:dyDescent="0.45">
      <c r="A47" s="8">
        <v>9.9</v>
      </c>
      <c r="B47" s="9">
        <v>68.106999999999999</v>
      </c>
      <c r="C47" s="9">
        <f>Table16[[#This Row],[Power_hp]]*7121/(Table16[[#This Row],[RPM]]*1000)</f>
        <v>48.988883535353537</v>
      </c>
    </row>
    <row r="48" spans="1:3" x14ac:dyDescent="0.45">
      <c r="A48" s="8">
        <v>10</v>
      </c>
      <c r="B48" s="9">
        <v>68.144999999999996</v>
      </c>
      <c r="C48" s="9">
        <f>Table16[[#This Row],[Power_hp]]*7121/(Table16[[#This Row],[RPM]]*1000)</f>
        <v>48.526054500000001</v>
      </c>
    </row>
    <row r="49" spans="1:3" x14ac:dyDescent="0.45">
      <c r="A49" s="8">
        <v>10.1</v>
      </c>
      <c r="B49" s="9">
        <v>68.108000000000004</v>
      </c>
      <c r="C49" s="9">
        <f>Table16[[#This Row],[Power_hp]]*7121/(Table16[[#This Row],[RPM]]*1000)</f>
        <v>48.019511683168318</v>
      </c>
    </row>
    <row r="50" spans="1:3" x14ac:dyDescent="0.45">
      <c r="A50" s="8">
        <v>10.199999999999999</v>
      </c>
      <c r="B50" s="9">
        <v>68.03</v>
      </c>
      <c r="C50" s="9">
        <f>Table16[[#This Row],[Power_hp]]*7121/(Table16[[#This Row],[RPM]]*1000)</f>
        <v>47.494277450980391</v>
      </c>
    </row>
    <row r="51" spans="1:3" x14ac:dyDescent="0.45">
      <c r="A51" s="8">
        <v>10.3</v>
      </c>
      <c r="B51" s="9">
        <v>68.061999999999998</v>
      </c>
      <c r="C51" s="9">
        <f>Table16[[#This Row],[Power_hp]]*7121/(Table16[[#This Row],[RPM]]*1000)</f>
        <v>47.055291456310677</v>
      </c>
    </row>
    <row r="52" spans="1:3" x14ac:dyDescent="0.45">
      <c r="A52" s="8">
        <v>10.4</v>
      </c>
      <c r="B52" s="9">
        <v>68.221999999999994</v>
      </c>
      <c r="C52" s="9">
        <f>Table16[[#This Row],[Power_hp]]*7121/(Table16[[#This Row],[RPM]]*1000)</f>
        <v>46.71239057692307</v>
      </c>
    </row>
    <row r="53" spans="1:3" x14ac:dyDescent="0.45">
      <c r="A53" s="8">
        <v>10.5</v>
      </c>
      <c r="B53" s="9">
        <v>68.378</v>
      </c>
      <c r="C53" s="9">
        <f>Table16[[#This Row],[Power_hp]]*7121/(Table16[[#This Row],[RPM]]*1000)</f>
        <v>46.373308380952381</v>
      </c>
    </row>
    <row r="54" spans="1:3" x14ac:dyDescent="0.45">
      <c r="A54" s="8">
        <v>10.6</v>
      </c>
      <c r="B54" s="9">
        <v>68.474000000000004</v>
      </c>
      <c r="C54" s="9">
        <f>Table16[[#This Row],[Power_hp]]*7121/(Table16[[#This Row],[RPM]]*1000)</f>
        <v>46.000316415094346</v>
      </c>
    </row>
    <row r="55" spans="1:3" x14ac:dyDescent="0.45">
      <c r="A55" s="8">
        <v>10.7</v>
      </c>
      <c r="B55" s="9">
        <v>68.507000000000005</v>
      </c>
      <c r="C55" s="9">
        <f>Table16[[#This Row],[Power_hp]]*7121/(Table16[[#This Row],[RPM]]*1000)</f>
        <v>45.592368878504672</v>
      </c>
    </row>
    <row r="56" spans="1:3" x14ac:dyDescent="0.45">
      <c r="A56" s="8">
        <v>10.8</v>
      </c>
      <c r="B56" s="9">
        <v>68.581000000000003</v>
      </c>
      <c r="C56" s="9">
        <f>Table16[[#This Row],[Power_hp]]*7121/(Table16[[#This Row],[RPM]]*1000)</f>
        <v>45.219009351851852</v>
      </c>
    </row>
    <row r="57" spans="1:3" x14ac:dyDescent="0.45">
      <c r="A57" s="8">
        <v>10.9</v>
      </c>
      <c r="B57" s="9">
        <v>68.804000000000002</v>
      </c>
      <c r="C57" s="9">
        <f>Table16[[#This Row],[Power_hp]]*7121/(Table16[[#This Row],[RPM]]*1000)</f>
        <v>44.949842568807341</v>
      </c>
    </row>
    <row r="58" spans="1:3" x14ac:dyDescent="0.45">
      <c r="A58" s="8">
        <v>11</v>
      </c>
      <c r="B58" s="9">
        <v>68.941000000000003</v>
      </c>
      <c r="C58" s="9">
        <f>Table16[[#This Row],[Power_hp]]*7121/(Table16[[#This Row],[RPM]]*1000)</f>
        <v>44.62989645454546</v>
      </c>
    </row>
    <row r="59" spans="1:3" x14ac:dyDescent="0.45">
      <c r="A59" s="8">
        <v>11.1</v>
      </c>
      <c r="B59" s="9">
        <v>69.046999999999997</v>
      </c>
      <c r="C59" s="9">
        <f>Table16[[#This Row],[Power_hp]]*7121/(Table16[[#This Row],[RPM]]*1000)</f>
        <v>44.295827657657654</v>
      </c>
    </row>
    <row r="60" spans="1:3" x14ac:dyDescent="0.45">
      <c r="A60" s="8">
        <v>11.2</v>
      </c>
      <c r="B60" s="9">
        <v>69.239000000000004</v>
      </c>
      <c r="C60" s="9">
        <f>Table16[[#This Row],[Power_hp]]*7121/(Table16[[#This Row],[RPM]]*1000)</f>
        <v>44.022403482142863</v>
      </c>
    </row>
    <row r="61" spans="1:3" x14ac:dyDescent="0.45">
      <c r="A61" s="8">
        <v>11.3</v>
      </c>
      <c r="B61" s="9">
        <v>69.191000000000003</v>
      </c>
      <c r="C61" s="9">
        <f>Table16[[#This Row],[Power_hp]]*7121/(Table16[[#This Row],[RPM]]*1000)</f>
        <v>43.602576194690272</v>
      </c>
    </row>
    <row r="62" spans="1:3" x14ac:dyDescent="0.45">
      <c r="A62" s="8">
        <v>11.4</v>
      </c>
      <c r="B62" s="9">
        <v>69.046999999999997</v>
      </c>
      <c r="C62" s="9">
        <f>Table16[[#This Row],[Power_hp]]*7121/(Table16[[#This Row],[RPM]]*1000)</f>
        <v>43.130147982456137</v>
      </c>
    </row>
    <row r="63" spans="1:3" x14ac:dyDescent="0.45">
      <c r="A63" s="8">
        <v>11.5</v>
      </c>
      <c r="B63" s="9">
        <v>68.932000000000002</v>
      </c>
      <c r="C63" s="9">
        <f>Table16[[#This Row],[Power_hp]]*7121/(Table16[[#This Row],[RPM]]*1000)</f>
        <v>42.683893217391301</v>
      </c>
    </row>
    <row r="64" spans="1:3" x14ac:dyDescent="0.45">
      <c r="A64" s="8">
        <v>11.6</v>
      </c>
      <c r="B64" s="9">
        <v>68.763000000000005</v>
      </c>
      <c r="C64" s="9">
        <f>Table16[[#This Row],[Power_hp]]*7121/(Table16[[#This Row],[RPM]]*1000)</f>
        <v>42.212183017241379</v>
      </c>
    </row>
    <row r="65" spans="1:3" x14ac:dyDescent="0.45">
      <c r="A65" s="8">
        <v>11.7</v>
      </c>
      <c r="B65" s="9">
        <v>68.566000000000003</v>
      </c>
      <c r="C65" s="9">
        <f>Table16[[#This Row],[Power_hp]]*7121/(Table16[[#This Row],[RPM]]*1000)</f>
        <v>41.731494529914535</v>
      </c>
    </row>
    <row r="66" spans="1:3" x14ac:dyDescent="0.45">
      <c r="A66" s="8">
        <v>11.8</v>
      </c>
      <c r="B66" s="9">
        <v>68.403000000000006</v>
      </c>
      <c r="C66" s="9">
        <f>Table16[[#This Row],[Power_hp]]*7121/(Table16[[#This Row],[RPM]]*1000)</f>
        <v>41.279471440677966</v>
      </c>
    </row>
    <row r="67" spans="1:3" x14ac:dyDescent="0.45">
      <c r="A67" s="8">
        <v>11.9</v>
      </c>
      <c r="B67" s="9">
        <v>68.251999999999995</v>
      </c>
      <c r="C67" s="9">
        <f>Table16[[#This Row],[Power_hp]]*7121/(Table16[[#This Row],[RPM]]*1000)</f>
        <v>40.84222621848739</v>
      </c>
    </row>
    <row r="68" spans="1:3" x14ac:dyDescent="0.45">
      <c r="A68" s="8">
        <v>12</v>
      </c>
      <c r="B68" s="9">
        <v>68.129000000000005</v>
      </c>
      <c r="C68" s="9">
        <f>Table16[[#This Row],[Power_hp]]*7121/(Table16[[#This Row],[RPM]]*1000)</f>
        <v>40.428884083333337</v>
      </c>
    </row>
    <row r="69" spans="1:3" x14ac:dyDescent="0.45">
      <c r="A69" s="8">
        <v>12.1</v>
      </c>
      <c r="B69" s="9">
        <v>67.944000000000003</v>
      </c>
      <c r="C69" s="9">
        <f>Table16[[#This Row],[Power_hp]]*7121/(Table16[[#This Row],[RPM]]*1000)</f>
        <v>39.985886280991743</v>
      </c>
    </row>
    <row r="70" spans="1:3" x14ac:dyDescent="0.45">
      <c r="A70" s="8">
        <v>12.2</v>
      </c>
      <c r="B70" s="9">
        <v>67.823999999999998</v>
      </c>
      <c r="C70" s="9">
        <f>Table16[[#This Row],[Power_hp]]*7121/(Table16[[#This Row],[RPM]]*1000)</f>
        <v>39.588090491803278</v>
      </c>
    </row>
    <row r="71" spans="1:3" x14ac:dyDescent="0.45">
      <c r="A71" s="8">
        <v>12.3</v>
      </c>
      <c r="B71" s="9">
        <v>67.876999999999995</v>
      </c>
      <c r="C71" s="9">
        <f>Table16[[#This Row],[Power_hp]]*7121/(Table16[[#This Row],[RPM]]*1000)</f>
        <v>39.296920081300811</v>
      </c>
    </row>
    <row r="72" spans="1:3" x14ac:dyDescent="0.45">
      <c r="A72" s="8">
        <v>12.4</v>
      </c>
      <c r="B72" s="9">
        <v>67.849000000000004</v>
      </c>
      <c r="C72" s="9">
        <f>Table16[[#This Row],[Power_hp]]*7121/(Table16[[#This Row],[RPM]]*1000)</f>
        <v>38.963929758064523</v>
      </c>
    </row>
    <row r="73" spans="1:3" x14ac:dyDescent="0.45">
      <c r="A73" s="8">
        <v>12.5</v>
      </c>
      <c r="B73" s="9">
        <v>67.908000000000001</v>
      </c>
      <c r="C73" s="9">
        <f>Table16[[#This Row],[Power_hp]]*7121/(Table16[[#This Row],[RPM]]*1000)</f>
        <v>38.685829439999999</v>
      </c>
    </row>
    <row r="74" spans="1:3" x14ac:dyDescent="0.45">
      <c r="A74" s="8">
        <v>12.6</v>
      </c>
      <c r="B74" s="9">
        <v>67.831999999999994</v>
      </c>
      <c r="C74" s="9">
        <f>Table16[[#This Row],[Power_hp]]*7121/(Table16[[#This Row],[RPM]]*1000)</f>
        <v>38.335846984126981</v>
      </c>
    </row>
    <row r="75" spans="1:3" x14ac:dyDescent="0.45">
      <c r="A75" s="8">
        <v>12.7</v>
      </c>
      <c r="B75" s="9">
        <v>67.418000000000006</v>
      </c>
      <c r="C75" s="9">
        <f>Table16[[#This Row],[Power_hp]]*7121/(Table16[[#This Row],[RPM]]*1000)</f>
        <v>37.801856535433075</v>
      </c>
    </row>
    <row r="76" spans="1:3" x14ac:dyDescent="0.45">
      <c r="A76" s="8">
        <v>12.8</v>
      </c>
      <c r="B76" s="9">
        <v>67.123000000000005</v>
      </c>
      <c r="C76" s="9">
        <f>Table16[[#This Row],[Power_hp]]*7121/(Table16[[#This Row],[RPM]]*1000)</f>
        <v>37.342412734375003</v>
      </c>
    </row>
    <row r="77" spans="1:3" x14ac:dyDescent="0.45">
      <c r="A77" s="8">
        <v>12.9</v>
      </c>
      <c r="B77" s="9">
        <v>66.885000000000005</v>
      </c>
      <c r="C77" s="9">
        <f>Table16[[#This Row],[Power_hp]]*7121/(Table16[[#This Row],[RPM]]*1000)</f>
        <v>36.921556976744185</v>
      </c>
    </row>
    <row r="78" spans="1:3" x14ac:dyDescent="0.45">
      <c r="A78" s="8">
        <v>13</v>
      </c>
      <c r="B78" s="9">
        <v>66.781999999999996</v>
      </c>
      <c r="C78" s="9">
        <f>Table16[[#This Row],[Power_hp]]*7121/(Table16[[#This Row],[RPM]]*1000)</f>
        <v>36.581124769230769</v>
      </c>
    </row>
    <row r="79" spans="1:3" x14ac:dyDescent="0.45">
      <c r="A79" s="8">
        <v>13.1</v>
      </c>
      <c r="B79" s="9">
        <v>66.712000000000003</v>
      </c>
      <c r="C79" s="9">
        <f>Table16[[#This Row],[Power_hp]]*7121/(Table16[[#This Row],[RPM]]*1000)</f>
        <v>36.263828396946565</v>
      </c>
    </row>
    <row r="80" spans="1:3" x14ac:dyDescent="0.45">
      <c r="A80" s="8">
        <v>13.2</v>
      </c>
      <c r="B80" s="9">
        <v>66.591999999999999</v>
      </c>
      <c r="C80" s="9">
        <f>Table16[[#This Row],[Power_hp]]*7121/(Table16[[#This Row],[RPM]]*1000)</f>
        <v>35.924366060606062</v>
      </c>
    </row>
    <row r="81" spans="1:3" x14ac:dyDescent="0.45">
      <c r="A81" s="8">
        <v>13.3</v>
      </c>
      <c r="B81" s="9">
        <v>66.513000000000005</v>
      </c>
      <c r="C81" s="9">
        <f>Table16[[#This Row],[Power_hp]]*7121/(Table16[[#This Row],[RPM]]*1000)</f>
        <v>35.611960375939852</v>
      </c>
    </row>
    <row r="82" spans="1:3" x14ac:dyDescent="0.45">
      <c r="A82" s="8">
        <v>13.4</v>
      </c>
      <c r="B82" s="9">
        <v>66.453999999999994</v>
      </c>
      <c r="C82" s="9">
        <f>Table16[[#This Row],[Power_hp]]*7121/(Table16[[#This Row],[RPM]]*1000)</f>
        <v>35.31484582089552</v>
      </c>
    </row>
    <row r="83" spans="1:3" x14ac:dyDescent="0.45">
      <c r="A83" s="8">
        <v>13.5</v>
      </c>
      <c r="B83" s="9">
        <v>66.417000000000002</v>
      </c>
      <c r="C83" s="9">
        <f>Table16[[#This Row],[Power_hp]]*7121/(Table16[[#This Row],[RPM]]*1000)</f>
        <v>35.033737555555554</v>
      </c>
    </row>
    <row r="84" spans="1:3" x14ac:dyDescent="0.45">
      <c r="A84" s="8">
        <v>13.6</v>
      </c>
      <c r="B84" s="9">
        <v>66.126000000000005</v>
      </c>
      <c r="C84" s="9">
        <f>Table16[[#This Row],[Power_hp]]*7121/(Table16[[#This Row],[RPM]]*1000)</f>
        <v>34.623768088235295</v>
      </c>
    </row>
    <row r="85" spans="1:3" x14ac:dyDescent="0.45">
      <c r="A85" s="8">
        <v>13.7</v>
      </c>
      <c r="B85" s="9">
        <v>65.692999999999998</v>
      </c>
      <c r="C85" s="9">
        <f>Table16[[#This Row],[Power_hp]]*7121/(Table16[[#This Row],[RPM]]*1000)</f>
        <v>34.145974671532848</v>
      </c>
    </row>
    <row r="86" spans="1:3" x14ac:dyDescent="0.45">
      <c r="A86" s="8">
        <v>13.8</v>
      </c>
      <c r="B86" s="9">
        <v>65.162000000000006</v>
      </c>
      <c r="C86" s="9">
        <f>Table16[[#This Row],[Power_hp]]*7121/(Table16[[#This Row],[RPM]]*1000)</f>
        <v>33.624536376811598</v>
      </c>
    </row>
    <row r="87" spans="1:3" x14ac:dyDescent="0.45">
      <c r="A87" s="8">
        <v>13.9</v>
      </c>
      <c r="B87" s="9">
        <v>64.564999999999998</v>
      </c>
      <c r="C87" s="9">
        <f>Table16[[#This Row],[Power_hp]]*7121/(Table16[[#This Row],[RPM]]*1000)</f>
        <v>33.076788848920863</v>
      </c>
    </row>
    <row r="88" spans="1:3" x14ac:dyDescent="0.45">
      <c r="A88" s="8">
        <v>14</v>
      </c>
      <c r="B88" s="9">
        <v>63.790999999999997</v>
      </c>
      <c r="C88" s="9">
        <f>Table16[[#This Row],[Power_hp]]*7121/(Table16[[#This Row],[RPM]]*1000)</f>
        <v>32.446836499999996</v>
      </c>
    </row>
    <row r="89" spans="1:3" x14ac:dyDescent="0.45">
      <c r="A89" s="8">
        <v>14.1</v>
      </c>
      <c r="B89" s="9">
        <v>63.165999999999997</v>
      </c>
      <c r="C89" s="9">
        <f>Table16[[#This Row],[Power_hp]]*7121/(Table16[[#This Row],[RPM]]*1000)</f>
        <v>31.901069929078012</v>
      </c>
    </row>
    <row r="90" spans="1:3" x14ac:dyDescent="0.45">
      <c r="A90" s="8">
        <v>14.2</v>
      </c>
      <c r="B90" s="9">
        <v>62.575000000000003</v>
      </c>
      <c r="C90" s="9">
        <f>Table16[[#This Row],[Power_hp]]*7121/(Table16[[#This Row],[RPM]]*1000)</f>
        <v>31.380040492957747</v>
      </c>
    </row>
    <row r="91" spans="1:3" x14ac:dyDescent="0.45">
      <c r="A91" s="8">
        <v>14.3</v>
      </c>
      <c r="B91" s="9">
        <v>61.906999999999996</v>
      </c>
      <c r="C91" s="9">
        <f>Table16[[#This Row],[Power_hp]]*7121/(Table16[[#This Row],[RPM]]*1000)</f>
        <v>30.827954335664334</v>
      </c>
    </row>
    <row r="92" spans="1:3" x14ac:dyDescent="0.45">
      <c r="A92" s="8">
        <v>14.4</v>
      </c>
      <c r="B92" s="9">
        <v>61.125</v>
      </c>
      <c r="C92" s="9">
        <f>Table16[[#This Row],[Power_hp]]*7121/(Table16[[#This Row],[RPM]]*1000)</f>
        <v>30.227161458333335</v>
      </c>
    </row>
    <row r="93" spans="1:3" x14ac:dyDescent="0.45">
      <c r="A93" s="8">
        <v>14.5</v>
      </c>
      <c r="B93" s="9">
        <v>60.371000000000002</v>
      </c>
      <c r="C93" s="9">
        <f>Table16[[#This Row],[Power_hp]]*7121/(Table16[[#This Row],[RPM]]*1000)</f>
        <v>29.648406275862069</v>
      </c>
    </row>
    <row r="94" spans="1:3" x14ac:dyDescent="0.45">
      <c r="A94" s="8">
        <v>14.600000000000001</v>
      </c>
      <c r="B94" s="9">
        <v>59.71</v>
      </c>
      <c r="C94" s="9">
        <f>Table16[[#This Row],[Power_hp]]*7121/(Table16[[#This Row],[RPM]]*1000)</f>
        <v>29.12293904109589</v>
      </c>
    </row>
    <row r="95" spans="1:3" x14ac:dyDescent="0.45">
      <c r="A95" s="8">
        <v>14.7</v>
      </c>
      <c r="B95" s="9">
        <v>59.151000000000003</v>
      </c>
      <c r="C95" s="9">
        <f>Table16[[#This Row],[Power_hp]]*7121/(Table16[[#This Row],[RPM]]*1000)</f>
        <v>28.654032040816325</v>
      </c>
    </row>
    <row r="96" spans="1:3" x14ac:dyDescent="0.45">
      <c r="A96" s="8">
        <v>14.8</v>
      </c>
      <c r="B96" s="9">
        <v>58.558999999999997</v>
      </c>
      <c r="C96" s="9">
        <f>Table16[[#This Row],[Power_hp]]*7121/(Table16[[#This Row],[RPM]]*1000)</f>
        <v>28.175583716216213</v>
      </c>
    </row>
    <row r="97" spans="1:3" x14ac:dyDescent="0.45">
      <c r="A97" s="8">
        <v>15</v>
      </c>
      <c r="B97" s="9">
        <v>58.558999999999997</v>
      </c>
      <c r="C97" s="9">
        <f>Table16[[#This Row],[Power_hp]]*7121/(Table16[[#This Row],[RPM]]*1000)</f>
        <v>27.799909266666663</v>
      </c>
    </row>
    <row r="98" spans="1:3" x14ac:dyDescent="0.45">
      <c r="A98" s="8">
        <v>15.5</v>
      </c>
      <c r="B98" s="9">
        <v>58.558999999999997</v>
      </c>
      <c r="C98" s="9">
        <f>Table16[[#This Row],[Power_hp]]*7121/(Table16[[#This Row],[RPM]]*1000)</f>
        <v>26.903137999999998</v>
      </c>
    </row>
  </sheetData>
  <mergeCells count="1">
    <mergeCell ref="H3:J4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4D0E-AA92-4785-87E5-95160464BDC2}">
  <dimension ref="A1:E12"/>
  <sheetViews>
    <sheetView workbookViewId="0">
      <selection activeCell="H20" sqref="H20"/>
    </sheetView>
  </sheetViews>
  <sheetFormatPr defaultRowHeight="14.25" x14ac:dyDescent="0.45"/>
  <cols>
    <col min="1" max="1" width="12.6640625" bestFit="1" customWidth="1"/>
    <col min="2" max="2" width="14.06640625" bestFit="1" customWidth="1"/>
    <col min="3" max="3" width="8.86328125" bestFit="1" customWidth="1"/>
    <col min="4" max="4" width="10.1328125" customWidth="1"/>
    <col min="5" max="5" width="10.796875" customWidth="1"/>
  </cols>
  <sheetData>
    <row r="1" spans="1:5" x14ac:dyDescent="0.45">
      <c r="A1" t="s">
        <v>91</v>
      </c>
      <c r="B1" t="s">
        <v>92</v>
      </c>
      <c r="C1" t="s">
        <v>93</v>
      </c>
      <c r="D1" t="s">
        <v>55</v>
      </c>
      <c r="E1" t="s">
        <v>94</v>
      </c>
    </row>
    <row r="2" spans="1:5" x14ac:dyDescent="0.45">
      <c r="A2">
        <v>0</v>
      </c>
      <c r="B2">
        <v>0</v>
      </c>
      <c r="C2">
        <v>0</v>
      </c>
      <c r="D2">
        <v>0</v>
      </c>
      <c r="E2">
        <v>50</v>
      </c>
    </row>
    <row r="3" spans="1:5" x14ac:dyDescent="0.45">
      <c r="A3">
        <v>20</v>
      </c>
      <c r="B3">
        <v>510.26</v>
      </c>
      <c r="C3">
        <v>144.44</v>
      </c>
      <c r="D3">
        <v>-0.10099999999999998</v>
      </c>
      <c r="E3">
        <v>43.4</v>
      </c>
    </row>
    <row r="4" spans="1:5" x14ac:dyDescent="0.45">
      <c r="A4">
        <v>25</v>
      </c>
      <c r="B4">
        <v>564.84</v>
      </c>
      <c r="C4">
        <v>180.86</v>
      </c>
      <c r="D4">
        <v>-0.10299999999999998</v>
      </c>
      <c r="E4">
        <v>43.2</v>
      </c>
    </row>
    <row r="5" spans="1:5" x14ac:dyDescent="0.45">
      <c r="A5">
        <v>30</v>
      </c>
      <c r="B5">
        <v>633.38</v>
      </c>
      <c r="C5">
        <v>225.64</v>
      </c>
      <c r="D5">
        <v>-0.10499999999999998</v>
      </c>
      <c r="E5">
        <v>43.1</v>
      </c>
    </row>
    <row r="6" spans="1:5" x14ac:dyDescent="0.45">
      <c r="A6">
        <v>35</v>
      </c>
      <c r="B6">
        <v>714.36</v>
      </c>
      <c r="C6">
        <v>279.04000000000002</v>
      </c>
      <c r="D6">
        <v>-0.10799999999999998</v>
      </c>
      <c r="E6">
        <v>42.9</v>
      </c>
    </row>
    <row r="7" spans="1:5" x14ac:dyDescent="0.45">
      <c r="A7">
        <v>40</v>
      </c>
      <c r="B7">
        <v>809.06</v>
      </c>
      <c r="C7">
        <v>340.52</v>
      </c>
      <c r="D7">
        <v>-0.10999999999999999</v>
      </c>
      <c r="E7">
        <v>42.8</v>
      </c>
    </row>
    <row r="8" spans="1:5" x14ac:dyDescent="0.45">
      <c r="A8">
        <v>45</v>
      </c>
      <c r="B8">
        <v>916.64</v>
      </c>
      <c r="C8">
        <v>411.07</v>
      </c>
      <c r="D8">
        <v>-0.11299999999999999</v>
      </c>
      <c r="E8">
        <v>42.6</v>
      </c>
    </row>
    <row r="9" spans="1:5" x14ac:dyDescent="0.45">
      <c r="A9">
        <v>50</v>
      </c>
      <c r="B9">
        <v>1028.69</v>
      </c>
      <c r="C9">
        <v>484.41</v>
      </c>
      <c r="D9">
        <v>-0.11599999999999999</v>
      </c>
      <c r="E9">
        <v>42.4</v>
      </c>
    </row>
    <row r="10" spans="1:5" x14ac:dyDescent="0.45">
      <c r="A10">
        <v>60</v>
      </c>
      <c r="B10">
        <v>1400</v>
      </c>
      <c r="C10">
        <v>550</v>
      </c>
      <c r="D10">
        <v>-0.11599999999999999</v>
      </c>
      <c r="E10">
        <v>42.4</v>
      </c>
    </row>
    <row r="11" spans="1:5" x14ac:dyDescent="0.45">
      <c r="A11">
        <v>70</v>
      </c>
      <c r="B11">
        <v>1700</v>
      </c>
      <c r="C11">
        <v>625</v>
      </c>
      <c r="D11">
        <v>-0.11599999999999999</v>
      </c>
      <c r="E11">
        <v>42.4</v>
      </c>
    </row>
    <row r="12" spans="1:5" x14ac:dyDescent="0.45">
      <c r="A12">
        <v>80</v>
      </c>
      <c r="B12">
        <v>2000</v>
      </c>
      <c r="C12">
        <v>710</v>
      </c>
      <c r="D12">
        <v>-0.11599999999999999</v>
      </c>
      <c r="E12">
        <v>42.4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598EE-5094-47DA-8F95-A337EE54D93E}">
  <dimension ref="A1:D4"/>
  <sheetViews>
    <sheetView workbookViewId="0">
      <selection activeCell="B2" sqref="B2"/>
    </sheetView>
  </sheetViews>
  <sheetFormatPr defaultRowHeight="14.25" x14ac:dyDescent="0.45"/>
  <cols>
    <col min="1" max="1" width="10.6640625" bestFit="1" customWidth="1"/>
    <col min="2" max="2" width="17.59765625" bestFit="1" customWidth="1"/>
    <col min="3" max="3" width="18.86328125" bestFit="1" customWidth="1"/>
    <col min="4" max="4" width="22.19921875" bestFit="1" customWidth="1"/>
  </cols>
  <sheetData>
    <row r="1" spans="1:4" x14ac:dyDescent="0.45">
      <c r="A1" t="s">
        <v>76</v>
      </c>
      <c r="B1" t="s">
        <v>102</v>
      </c>
      <c r="C1" t="s">
        <v>103</v>
      </c>
      <c r="D1" t="s">
        <v>104</v>
      </c>
    </row>
    <row r="2" spans="1:4" x14ac:dyDescent="0.45">
      <c r="A2" t="s">
        <v>73</v>
      </c>
      <c r="B2">
        <v>2.31</v>
      </c>
      <c r="C2" s="12">
        <v>30320000</v>
      </c>
      <c r="D2" s="13">
        <v>0.31</v>
      </c>
    </row>
    <row r="3" spans="1:4" x14ac:dyDescent="0.45">
      <c r="A3" t="s">
        <v>74</v>
      </c>
      <c r="B3">
        <v>2.31</v>
      </c>
      <c r="C3" s="12">
        <v>31320000</v>
      </c>
      <c r="D3" s="13">
        <v>0.28999999999999998</v>
      </c>
    </row>
    <row r="4" spans="1:4" x14ac:dyDescent="0.45">
      <c r="A4" t="s">
        <v>75</v>
      </c>
      <c r="B4">
        <v>1.65</v>
      </c>
      <c r="C4" s="12">
        <v>22270000</v>
      </c>
      <c r="D4" s="13">
        <v>0.34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5CA2-66E0-4F38-B94E-42C41875EBB0}">
  <dimension ref="A1:C3"/>
  <sheetViews>
    <sheetView workbookViewId="0">
      <selection activeCell="E15" sqref="E15"/>
    </sheetView>
  </sheetViews>
  <sheetFormatPr defaultRowHeight="14.25" x14ac:dyDescent="0.45"/>
  <cols>
    <col min="1" max="1" width="11.9296875" customWidth="1"/>
    <col min="3" max="3" width="11.33203125" customWidth="1"/>
    <col min="5" max="5" width="10.6640625" bestFit="1" customWidth="1"/>
  </cols>
  <sheetData>
    <row r="1" spans="1:3" x14ac:dyDescent="0.45">
      <c r="A1" t="s">
        <v>38</v>
      </c>
      <c r="C1" t="s">
        <v>53</v>
      </c>
    </row>
    <row r="2" spans="1:3" x14ac:dyDescent="0.45">
      <c r="A2" t="s">
        <v>39</v>
      </c>
      <c r="C2" t="s">
        <v>39</v>
      </c>
    </row>
    <row r="3" spans="1:3" x14ac:dyDescent="0.45">
      <c r="A3" t="s">
        <v>40</v>
      </c>
      <c r="C3" t="s">
        <v>40</v>
      </c>
    </row>
  </sheetData>
  <pageMargins left="0.7" right="0.7" top="0.75" bottom="0.75" header="0.3" footer="0.3"/>
  <tableParts count="2">
    <tablePart r:id="rId1"/>
    <tablePart r:id="rId2"/>
  </tableParts>
</worksheet>
</file>

<file path=docMetadata/LabelInfo.xml><?xml version="1.0" encoding="utf-8"?>
<clbl:labelList xmlns:clbl="http://schemas.microsoft.com/office/2020/mipLabelMetadata">
  <clbl:label id="{765a8de5-cf94-44f0-9caf-ae5bf8cfa366}" enabled="0" method="" siteId="{765a8de5-cf94-44f0-9caf-ae5bf8cfa36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Torque</vt:lpstr>
      <vt:lpstr>Aero</vt:lpstr>
      <vt:lpstr>Fuel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Seven</dc:creator>
  <cp:lastModifiedBy>Kieran Seven</cp:lastModifiedBy>
  <dcterms:created xsi:type="dcterms:W3CDTF">2015-06-05T18:17:20Z</dcterms:created>
  <dcterms:modified xsi:type="dcterms:W3CDTF">2026-03-07T02:04:58Z</dcterms:modified>
</cp:coreProperties>
</file>